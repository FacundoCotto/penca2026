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1" documentId="11_E721E178797B3D1F7BA2F4C4084382400BEEAE7B" xr6:coauthVersionLast="47" xr6:coauthVersionMax="47" xr10:uidLastSave="{488A2164-64AC-432F-98DF-5E3B2114E67C}"/>
  <bookViews>
    <workbookView xWindow="0" yWindow="0" windowWidth="16384" windowHeight="8192" tabRatio="500" xr2:uid="{00000000-000D-0000-FFFF-FFFF00000000}"/>
  </bookViews>
  <sheets>
    <sheet name="Dashboard" sheetId="1" r:id="rId1"/>
    <sheet name="Participantes" sheetId="2" r:id="rId2"/>
    <sheet name="Partidos" sheetId="3" r:id="rId3"/>
    <sheet name="Apuestas" sheetId="4" r:id="rId4"/>
    <sheet name="Resultados" sheetId="5" r:id="rId5"/>
    <sheet name="Ranking" sheetId="6" r:id="rId6"/>
    <sheet name="Informes" sheetId="7" r:id="rId7"/>
    <sheet name="Config" sheetId="8" r:id="rId8"/>
  </sheets>
  <definedNames>
    <definedName name="ListaEquipos">Config!$A$4:$A$51</definedName>
    <definedName name="ListaFases">Config!$B$4:$B$10</definedName>
    <definedName name="ListaGrupos">Config!$C$4:$C$15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7" l="1"/>
  <c r="B30" i="7"/>
  <c r="B29" i="7"/>
  <c r="B28" i="7"/>
  <c r="B27" i="7"/>
  <c r="B6" i="7"/>
  <c r="G1" i="7"/>
  <c r="F1" i="7"/>
  <c r="E1" i="7"/>
  <c r="D1" i="7"/>
  <c r="C1" i="7"/>
  <c r="B1" i="7"/>
  <c r="A1" i="7"/>
  <c r="F15" i="6"/>
  <c r="E15" i="6"/>
  <c r="D15" i="6"/>
  <c r="G15" i="6" s="1"/>
  <c r="D14" i="6"/>
  <c r="D13" i="6"/>
  <c r="D12" i="6"/>
  <c r="D11" i="6"/>
  <c r="D10" i="6"/>
  <c r="D9" i="6"/>
  <c r="D8" i="6"/>
  <c r="D7" i="6"/>
  <c r="D6" i="6"/>
  <c r="G1" i="6"/>
  <c r="F1" i="6"/>
  <c r="E1" i="6"/>
  <c r="D1" i="6"/>
  <c r="C1" i="6"/>
  <c r="B1" i="6"/>
  <c r="A1" i="6"/>
  <c r="G23" i="5"/>
  <c r="F23" i="5"/>
  <c r="H23" i="5" s="1"/>
  <c r="E23" i="5"/>
  <c r="D23" i="5"/>
  <c r="C23" i="5"/>
  <c r="B23" i="5"/>
  <c r="A23" i="5"/>
  <c r="G22" i="5"/>
  <c r="F22" i="5"/>
  <c r="H22" i="5" s="1"/>
  <c r="E22" i="5"/>
  <c r="D22" i="5"/>
  <c r="C22" i="5"/>
  <c r="B22" i="5"/>
  <c r="A22" i="5"/>
  <c r="G21" i="5"/>
  <c r="F21" i="5"/>
  <c r="H21" i="5" s="1"/>
  <c r="E21" i="5"/>
  <c r="D21" i="5"/>
  <c r="C21" i="5"/>
  <c r="B21" i="5"/>
  <c r="A21" i="5"/>
  <c r="G20" i="5"/>
  <c r="F20" i="5"/>
  <c r="H20" i="5" s="1"/>
  <c r="E20" i="5"/>
  <c r="D20" i="5"/>
  <c r="C20" i="5"/>
  <c r="B20" i="5"/>
  <c r="A20" i="5"/>
  <c r="G19" i="5"/>
  <c r="F19" i="5"/>
  <c r="H19" i="5" s="1"/>
  <c r="E19" i="5"/>
  <c r="D19" i="5"/>
  <c r="C19" i="5"/>
  <c r="B19" i="5"/>
  <c r="A19" i="5"/>
  <c r="G18" i="5"/>
  <c r="F18" i="5"/>
  <c r="H18" i="5" s="1"/>
  <c r="E18" i="5"/>
  <c r="D18" i="5"/>
  <c r="C18" i="5"/>
  <c r="B18" i="5"/>
  <c r="A18" i="5"/>
  <c r="G17" i="5"/>
  <c r="F17" i="5"/>
  <c r="H17" i="5" s="1"/>
  <c r="E17" i="5"/>
  <c r="D17" i="5"/>
  <c r="C17" i="5"/>
  <c r="B17" i="5"/>
  <c r="A17" i="5"/>
  <c r="G16" i="5"/>
  <c r="F16" i="5"/>
  <c r="H16" i="5" s="1"/>
  <c r="E16" i="5"/>
  <c r="D16" i="5"/>
  <c r="C16" i="5"/>
  <c r="B16" i="5"/>
  <c r="A16" i="5"/>
  <c r="G15" i="5"/>
  <c r="F15" i="5"/>
  <c r="H15" i="5" s="1"/>
  <c r="E15" i="5"/>
  <c r="D15" i="5"/>
  <c r="C15" i="5"/>
  <c r="B15" i="5"/>
  <c r="A15" i="5"/>
  <c r="G14" i="5"/>
  <c r="F14" i="5"/>
  <c r="H14" i="5" s="1"/>
  <c r="E14" i="5"/>
  <c r="D14" i="5"/>
  <c r="C14" i="5"/>
  <c r="B14" i="5"/>
  <c r="A14" i="5"/>
  <c r="G13" i="5"/>
  <c r="F13" i="5"/>
  <c r="H13" i="5" s="1"/>
  <c r="E13" i="5"/>
  <c r="D13" i="5"/>
  <c r="C13" i="5"/>
  <c r="B13" i="5"/>
  <c r="A13" i="5"/>
  <c r="G12" i="5"/>
  <c r="F12" i="5"/>
  <c r="H12" i="5" s="1"/>
  <c r="E12" i="5"/>
  <c r="D12" i="5"/>
  <c r="C12" i="5"/>
  <c r="B12" i="5"/>
  <c r="A12" i="5"/>
  <c r="G11" i="5"/>
  <c r="F11" i="5"/>
  <c r="H11" i="5" s="1"/>
  <c r="E11" i="5"/>
  <c r="D11" i="5"/>
  <c r="C11" i="5"/>
  <c r="B11" i="5"/>
  <c r="A11" i="5"/>
  <c r="G10" i="5"/>
  <c r="F10" i="5"/>
  <c r="H10" i="5" s="1"/>
  <c r="E10" i="5"/>
  <c r="D10" i="5"/>
  <c r="C10" i="5"/>
  <c r="B10" i="5"/>
  <c r="A10" i="5"/>
  <c r="G9" i="5"/>
  <c r="F9" i="5"/>
  <c r="H9" i="5" s="1"/>
  <c r="E9" i="5"/>
  <c r="D9" i="5"/>
  <c r="C9" i="5"/>
  <c r="B9" i="5"/>
  <c r="A9" i="5"/>
  <c r="G8" i="5"/>
  <c r="F8" i="5"/>
  <c r="H8" i="5" s="1"/>
  <c r="E8" i="5"/>
  <c r="D8" i="5"/>
  <c r="C8" i="5"/>
  <c r="B8" i="5"/>
  <c r="A8" i="5"/>
  <c r="G7" i="5"/>
  <c r="F7" i="5"/>
  <c r="H7" i="5" s="1"/>
  <c r="E7" i="5"/>
  <c r="D7" i="5"/>
  <c r="C7" i="5"/>
  <c r="B7" i="5"/>
  <c r="A7" i="5"/>
  <c r="G6" i="5"/>
  <c r="F6" i="5"/>
  <c r="H6" i="5" s="1"/>
  <c r="E6" i="5"/>
  <c r="D6" i="5"/>
  <c r="C6" i="5"/>
  <c r="B6" i="5"/>
  <c r="A6" i="5"/>
  <c r="G1" i="5"/>
  <c r="F1" i="5"/>
  <c r="E1" i="5"/>
  <c r="D1" i="5"/>
  <c r="C1" i="5"/>
  <c r="B1" i="5"/>
  <c r="A1" i="5"/>
  <c r="J40" i="4"/>
  <c r="I40" i="4"/>
  <c r="F40" i="4"/>
  <c r="E40" i="4"/>
  <c r="C40" i="4"/>
  <c r="J39" i="4"/>
  <c r="I39" i="4"/>
  <c r="F39" i="4"/>
  <c r="E39" i="4"/>
  <c r="C39" i="4"/>
  <c r="J38" i="4"/>
  <c r="I38" i="4"/>
  <c r="F38" i="4"/>
  <c r="E38" i="4"/>
  <c r="C38" i="4"/>
  <c r="J37" i="4"/>
  <c r="I37" i="4"/>
  <c r="F37" i="4"/>
  <c r="E37" i="4"/>
  <c r="C37" i="4"/>
  <c r="J36" i="4"/>
  <c r="I36" i="4"/>
  <c r="F36" i="4"/>
  <c r="E36" i="4"/>
  <c r="C36" i="4"/>
  <c r="J35" i="4"/>
  <c r="I35" i="4"/>
  <c r="F35" i="4"/>
  <c r="E35" i="4"/>
  <c r="C35" i="4"/>
  <c r="J34" i="4"/>
  <c r="I34" i="4"/>
  <c r="F34" i="4"/>
  <c r="E34" i="4"/>
  <c r="C34" i="4"/>
  <c r="J33" i="4"/>
  <c r="I33" i="4"/>
  <c r="F33" i="4"/>
  <c r="E33" i="4"/>
  <c r="C33" i="4"/>
  <c r="J32" i="4"/>
  <c r="I32" i="4"/>
  <c r="F32" i="4"/>
  <c r="E32" i="4"/>
  <c r="C32" i="4"/>
  <c r="J31" i="4"/>
  <c r="I31" i="4"/>
  <c r="F31" i="4"/>
  <c r="E31" i="4"/>
  <c r="C31" i="4"/>
  <c r="J30" i="4"/>
  <c r="I30" i="4"/>
  <c r="F30" i="4"/>
  <c r="E30" i="4"/>
  <c r="C30" i="4"/>
  <c r="J29" i="4"/>
  <c r="I29" i="4"/>
  <c r="F29" i="4"/>
  <c r="E29" i="4"/>
  <c r="C29" i="4"/>
  <c r="J28" i="4"/>
  <c r="I28" i="4"/>
  <c r="F28" i="4"/>
  <c r="E28" i="4"/>
  <c r="C28" i="4"/>
  <c r="J27" i="4"/>
  <c r="I27" i="4"/>
  <c r="F27" i="4"/>
  <c r="E27" i="4"/>
  <c r="C27" i="4"/>
  <c r="J26" i="4"/>
  <c r="I26" i="4"/>
  <c r="F26" i="4"/>
  <c r="E26" i="4"/>
  <c r="C26" i="4"/>
  <c r="J25" i="4"/>
  <c r="I25" i="4"/>
  <c r="F25" i="4"/>
  <c r="E25" i="4"/>
  <c r="C25" i="4"/>
  <c r="J24" i="4"/>
  <c r="I24" i="4"/>
  <c r="F24" i="4"/>
  <c r="E24" i="4"/>
  <c r="C24" i="4"/>
  <c r="J23" i="4"/>
  <c r="I23" i="4"/>
  <c r="F23" i="4"/>
  <c r="E23" i="4"/>
  <c r="C23" i="4"/>
  <c r="J22" i="4"/>
  <c r="I22" i="4"/>
  <c r="F22" i="4"/>
  <c r="E22" i="4"/>
  <c r="C22" i="4"/>
  <c r="J21" i="4"/>
  <c r="I21" i="4"/>
  <c r="F21" i="4"/>
  <c r="E21" i="4"/>
  <c r="C21" i="4"/>
  <c r="J20" i="4"/>
  <c r="I20" i="4"/>
  <c r="F20" i="4"/>
  <c r="E20" i="4"/>
  <c r="C20" i="4"/>
  <c r="J19" i="4"/>
  <c r="I19" i="4"/>
  <c r="F19" i="4"/>
  <c r="E19" i="4"/>
  <c r="C19" i="4"/>
  <c r="J18" i="4"/>
  <c r="I18" i="4"/>
  <c r="F18" i="4"/>
  <c r="E18" i="4"/>
  <c r="C18" i="4"/>
  <c r="J17" i="4"/>
  <c r="I17" i="4"/>
  <c r="F17" i="4"/>
  <c r="E17" i="4"/>
  <c r="C17" i="4"/>
  <c r="J16" i="4"/>
  <c r="I16" i="4"/>
  <c r="F16" i="4"/>
  <c r="E16" i="4"/>
  <c r="C16" i="4"/>
  <c r="J15" i="4"/>
  <c r="I15" i="4"/>
  <c r="F15" i="4"/>
  <c r="E15" i="4"/>
  <c r="C15" i="4"/>
  <c r="J14" i="4"/>
  <c r="I14" i="4"/>
  <c r="F14" i="4"/>
  <c r="E14" i="4"/>
  <c r="C14" i="4"/>
  <c r="J13" i="4"/>
  <c r="I13" i="4"/>
  <c r="F13" i="4"/>
  <c r="E13" i="4"/>
  <c r="C13" i="4"/>
  <c r="J12" i="4"/>
  <c r="I12" i="4"/>
  <c r="F12" i="4"/>
  <c r="E12" i="4"/>
  <c r="C12" i="4"/>
  <c r="J11" i="4"/>
  <c r="I11" i="4"/>
  <c r="F11" i="4"/>
  <c r="E11" i="4"/>
  <c r="C11" i="4"/>
  <c r="J10" i="4"/>
  <c r="I10" i="4"/>
  <c r="F10" i="4"/>
  <c r="E10" i="4"/>
  <c r="C10" i="4"/>
  <c r="J9" i="4"/>
  <c r="I9" i="4"/>
  <c r="F9" i="4"/>
  <c r="E9" i="4"/>
  <c r="C9" i="4"/>
  <c r="J8" i="4"/>
  <c r="I8" i="4"/>
  <c r="F8" i="4"/>
  <c r="E8" i="4"/>
  <c r="C8" i="4"/>
  <c r="J7" i="4"/>
  <c r="I7" i="4"/>
  <c r="F7" i="4"/>
  <c r="E7" i="4"/>
  <c r="C7" i="4"/>
  <c r="J6" i="4"/>
  <c r="I6" i="4"/>
  <c r="F6" i="4"/>
  <c r="E6" i="4"/>
  <c r="C6" i="4"/>
  <c r="G1" i="4"/>
  <c r="F1" i="4"/>
  <c r="E1" i="4"/>
  <c r="D1" i="4"/>
  <c r="C1" i="4"/>
  <c r="B1" i="4"/>
  <c r="A1" i="4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G1" i="3"/>
  <c r="F1" i="3"/>
  <c r="E1" i="3"/>
  <c r="D1" i="3"/>
  <c r="C1" i="3"/>
  <c r="B1" i="3"/>
  <c r="A1" i="3"/>
  <c r="G15" i="2"/>
  <c r="G14" i="2"/>
  <c r="G13" i="2"/>
  <c r="G12" i="2"/>
  <c r="G11" i="2"/>
  <c r="G10" i="2"/>
  <c r="G9" i="2"/>
  <c r="G8" i="2"/>
  <c r="G7" i="2"/>
  <c r="G6" i="2"/>
  <c r="G1" i="2"/>
  <c r="F1" i="2"/>
  <c r="E1" i="2"/>
  <c r="D1" i="2"/>
  <c r="C1" i="2"/>
  <c r="B1" i="2"/>
  <c r="A1" i="2"/>
  <c r="B24" i="1"/>
  <c r="B23" i="1"/>
  <c r="B22" i="1"/>
  <c r="B21" i="1"/>
  <c r="B20" i="1"/>
  <c r="B19" i="1"/>
  <c r="B18" i="1"/>
  <c r="B17" i="1"/>
  <c r="F13" i="1"/>
  <c r="F12" i="1"/>
  <c r="F11" i="1"/>
  <c r="F10" i="1"/>
  <c r="G7" i="1"/>
  <c r="E7" i="1"/>
  <c r="C7" i="1"/>
  <c r="A7" i="1"/>
  <c r="G1" i="1"/>
  <c r="F1" i="1"/>
  <c r="E1" i="1"/>
  <c r="D1" i="1"/>
  <c r="C1" i="1"/>
  <c r="B1" i="1"/>
  <c r="A1" i="1"/>
  <c r="B34" i="7" l="1"/>
  <c r="G6" i="6"/>
  <c r="F6" i="6"/>
  <c r="E6" i="6"/>
  <c r="G7" i="6"/>
  <c r="F7" i="6"/>
  <c r="E7" i="6"/>
  <c r="G8" i="6"/>
  <c r="F8" i="6"/>
  <c r="E8" i="6"/>
  <c r="G9" i="6"/>
  <c r="F9" i="6"/>
  <c r="E9" i="6"/>
  <c r="G10" i="6"/>
  <c r="F10" i="6"/>
  <c r="E10" i="6"/>
  <c r="G11" i="6"/>
  <c r="F11" i="6"/>
  <c r="E11" i="6"/>
  <c r="G12" i="6"/>
  <c r="F12" i="6"/>
  <c r="E12" i="6"/>
  <c r="G13" i="6"/>
  <c r="F13" i="6"/>
  <c r="E13" i="6"/>
  <c r="G14" i="6"/>
  <c r="F14" i="6"/>
  <c r="A14" i="6" s="1"/>
  <c r="E14" i="6"/>
  <c r="A13" i="6" l="1"/>
  <c r="A12" i="6"/>
  <c r="A11" i="6"/>
  <c r="A10" i="6"/>
  <c r="A9" i="6"/>
  <c r="A8" i="6"/>
  <c r="A7" i="6"/>
  <c r="B33" i="7"/>
  <c r="B32" i="7"/>
  <c r="A15" i="6"/>
  <c r="A6" i="6"/>
  <c r="B24" i="7" l="1"/>
  <c r="B23" i="7"/>
  <c r="A18" i="7"/>
  <c r="A17" i="7"/>
  <c r="A16" i="7"/>
  <c r="A15" i="7"/>
  <c r="A14" i="7"/>
  <c r="A13" i="7"/>
  <c r="A12" i="7"/>
  <c r="A11" i="7"/>
  <c r="A10" i="7"/>
  <c r="A9" i="7"/>
  <c r="C13" i="1"/>
  <c r="B13" i="1"/>
  <c r="C12" i="1"/>
  <c r="B12" i="1"/>
  <c r="C11" i="1"/>
  <c r="B11" i="1"/>
  <c r="D9" i="7" l="1"/>
  <c r="C9" i="7"/>
  <c r="B9" i="7"/>
  <c r="D10" i="7"/>
  <c r="C10" i="7"/>
  <c r="B10" i="7"/>
  <c r="D11" i="7"/>
  <c r="C11" i="7"/>
  <c r="B11" i="7"/>
  <c r="D12" i="7"/>
  <c r="C12" i="7"/>
  <c r="B12" i="7"/>
  <c r="D13" i="7"/>
  <c r="C13" i="7"/>
  <c r="B13" i="7"/>
  <c r="D14" i="7"/>
  <c r="C14" i="7"/>
  <c r="B14" i="7"/>
  <c r="D15" i="7"/>
  <c r="C15" i="7"/>
  <c r="B15" i="7"/>
  <c r="D16" i="7"/>
  <c r="C16" i="7"/>
  <c r="B16" i="7"/>
  <c r="D17" i="7"/>
  <c r="C17" i="7"/>
  <c r="B17" i="7"/>
  <c r="D18" i="7"/>
  <c r="C18" i="7"/>
  <c r="B18" i="7"/>
</calcChain>
</file>

<file path=xl/sharedStrings.xml><?xml version="1.0" encoding="utf-8"?>
<sst xmlns="http://schemas.openxmlformats.org/spreadsheetml/2006/main" count="470" uniqueCount="256">
  <si>
    <t>🏆  PENCA DEL MUNDIAL  ⚽  PANEL DE CONTROL</t>
  </si>
  <si>
    <t>Resumen ejecutivo • Actualizado al cargar resultados</t>
  </si>
  <si>
    <t>PARTICIPANTES ACTIVOS</t>
  </si>
  <si>
    <t>TOTAL DE APUESTAS</t>
  </si>
  <si>
    <t>PARTIDOS JUGADOS</t>
  </si>
  <si>
    <t>% ACIERTOS GLOBAL</t>
  </si>
  <si>
    <t>🥇 PODIO ACTUAL</t>
  </si>
  <si>
    <t>📅 SISTEMA DE PUNTAJE</t>
  </si>
  <si>
    <t>Posición</t>
  </si>
  <si>
    <t>Participante</t>
  </si>
  <si>
    <t>Puntos</t>
  </si>
  <si>
    <t>Resultado exacto</t>
  </si>
  <si>
    <t>🥇 1°</t>
  </si>
  <si>
    <t>Ganador + diferencia</t>
  </si>
  <si>
    <t>🥈 2°</t>
  </si>
  <si>
    <t>Solo ganador</t>
  </si>
  <si>
    <t>🥉 3°</t>
  </si>
  <si>
    <t>Sin acierto</t>
  </si>
  <si>
    <t>🎯 DISTRIBUCIÓN DE APUESTAS POR EQUIPO (Top 8)</t>
  </si>
  <si>
    <t>Equipo</t>
  </si>
  <si>
    <t>Apuestas</t>
  </si>
  <si>
    <t>México</t>
  </si>
  <si>
    <t>Brasil</t>
  </si>
  <si>
    <t>Alemania</t>
  </si>
  <si>
    <t>Estados Unidos</t>
  </si>
  <si>
    <t>Suiza</t>
  </si>
  <si>
    <t>Corea del Sur</t>
  </si>
  <si>
    <t>Canadá</t>
  </si>
  <si>
    <t>Marruecos</t>
  </si>
  <si>
    <t>Diseñado para la gestión integral de la penca • Use la barra superior para navegar entre secciones</t>
  </si>
  <si>
    <t>👥 PARTICIPANTES DE LA PENCA</t>
  </si>
  <si>
    <t>ID</t>
  </si>
  <si>
    <t>Nombre y Apellido</t>
  </si>
  <si>
    <t>Email</t>
  </si>
  <si>
    <t>Equipo Favorito</t>
  </si>
  <si>
    <t>Fecha Alta</t>
  </si>
  <si>
    <t>Estado</t>
  </si>
  <si>
    <t>Apuestas Registradas</t>
  </si>
  <si>
    <t>P001</t>
  </si>
  <si>
    <t>Juan Pérez</t>
  </si>
  <si>
    <t>juan@mail.com</t>
  </si>
  <si>
    <t>Argentina</t>
  </si>
  <si>
    <t>2026-05-15</t>
  </si>
  <si>
    <t>Activo</t>
  </si>
  <si>
    <t>P002</t>
  </si>
  <si>
    <t>María García</t>
  </si>
  <si>
    <t>maria@mail.com</t>
  </si>
  <si>
    <t>2026-05-16</t>
  </si>
  <si>
    <t>P003</t>
  </si>
  <si>
    <t>Lucas Rodríguez</t>
  </si>
  <si>
    <t>lucas@mail.com</t>
  </si>
  <si>
    <t>Uruguay</t>
  </si>
  <si>
    <t>2026-05-17</t>
  </si>
  <si>
    <t>P004</t>
  </si>
  <si>
    <t>Sofía Martínez</t>
  </si>
  <si>
    <t>sofia@mail.com</t>
  </si>
  <si>
    <t>España</t>
  </si>
  <si>
    <t>2026-05-18</t>
  </si>
  <si>
    <t>P005</t>
  </si>
  <si>
    <t>Diego Silva</t>
  </si>
  <si>
    <t>diego@mail.com</t>
  </si>
  <si>
    <t>Francia</t>
  </si>
  <si>
    <t>2026-05-19</t>
  </si>
  <si>
    <t>P006</t>
  </si>
  <si>
    <t>Ana López</t>
  </si>
  <si>
    <t>ana@mail.com</t>
  </si>
  <si>
    <t>Inglaterra</t>
  </si>
  <si>
    <t>2026-05-20</t>
  </si>
  <si>
    <t>P007</t>
  </si>
  <si>
    <t>Martín Fernández</t>
  </si>
  <si>
    <t>martin@mail.com</t>
  </si>
  <si>
    <t>2026-05-21</t>
  </si>
  <si>
    <t>P008</t>
  </si>
  <si>
    <t>Carolina Díaz</t>
  </si>
  <si>
    <t>caro@mail.com</t>
  </si>
  <si>
    <t>Portugal</t>
  </si>
  <si>
    <t>2026-05-22</t>
  </si>
  <si>
    <t>P009</t>
  </si>
  <si>
    <t>Federico Romero</t>
  </si>
  <si>
    <t>fede@mail.com</t>
  </si>
  <si>
    <t>Países Bajos</t>
  </si>
  <si>
    <t>2026-05-23</t>
  </si>
  <si>
    <t>P010</t>
  </si>
  <si>
    <t>Valentina Castro</t>
  </si>
  <si>
    <t>vale@mail.com</t>
  </si>
  <si>
    <t>2026-05-24</t>
  </si>
  <si>
    <t>Inactivo</t>
  </si>
  <si>
    <t>⚽ PARTIDOS DEL MUNDIAL</t>
  </si>
  <si>
    <t>ID Partido</t>
  </si>
  <si>
    <t>Fecha</t>
  </si>
  <si>
    <t>Fase</t>
  </si>
  <si>
    <t>Grupo</t>
  </si>
  <si>
    <t>Equipo Local</t>
  </si>
  <si>
    <t>Equipo Visitante</t>
  </si>
  <si>
    <t>Goles Local (Oficial)</t>
  </si>
  <si>
    <t>Goles Visitante (Oficial)</t>
  </si>
  <si>
    <t>Resultado Oficial</t>
  </si>
  <si>
    <t>M001</t>
  </si>
  <si>
    <t>2026-06-11</t>
  </si>
  <si>
    <t>Fase de Grupos</t>
  </si>
  <si>
    <t>A</t>
  </si>
  <si>
    <t>Sudáfrica</t>
  </si>
  <si>
    <t>M002</t>
  </si>
  <si>
    <t>Chequia</t>
  </si>
  <si>
    <t>M003</t>
  </si>
  <si>
    <t>2026-06-12</t>
  </si>
  <si>
    <t>B</t>
  </si>
  <si>
    <t>Bosnia y Herzegovina</t>
  </si>
  <si>
    <t>M004</t>
  </si>
  <si>
    <t>D</t>
  </si>
  <si>
    <t>Paraguay</t>
  </si>
  <si>
    <t>M005</t>
  </si>
  <si>
    <t>2026-06-13</t>
  </si>
  <si>
    <t>Qatar</t>
  </si>
  <si>
    <t>M006</t>
  </si>
  <si>
    <t>C</t>
  </si>
  <si>
    <t>M007</t>
  </si>
  <si>
    <t>Haití</t>
  </si>
  <si>
    <t>Escocia</t>
  </si>
  <si>
    <t>M008</t>
  </si>
  <si>
    <t>2026-06-14</t>
  </si>
  <si>
    <t>E</t>
  </si>
  <si>
    <t>Curazao</t>
  </si>
  <si>
    <t>M009</t>
  </si>
  <si>
    <t>Costa de Marfil</t>
  </si>
  <si>
    <t>Ecuador</t>
  </si>
  <si>
    <t>M010</t>
  </si>
  <si>
    <t>F</t>
  </si>
  <si>
    <t>Japón</t>
  </si>
  <si>
    <t>M011</t>
  </si>
  <si>
    <t>2026-06-15</t>
  </si>
  <si>
    <t>G</t>
  </si>
  <si>
    <t>Bélgica</t>
  </si>
  <si>
    <t>Egipto</t>
  </si>
  <si>
    <t>M012</t>
  </si>
  <si>
    <t>H</t>
  </si>
  <si>
    <t>Cabo Verde</t>
  </si>
  <si>
    <t>M013</t>
  </si>
  <si>
    <t>Arabia Saudita</t>
  </si>
  <si>
    <t>M014</t>
  </si>
  <si>
    <t>2026-06-16</t>
  </si>
  <si>
    <t>I</t>
  </si>
  <si>
    <t>Senegal</t>
  </si>
  <si>
    <t>M015</t>
  </si>
  <si>
    <t>J</t>
  </si>
  <si>
    <t>Argelia</t>
  </si>
  <si>
    <t>M016</t>
  </si>
  <si>
    <t>2026-06-17</t>
  </si>
  <si>
    <t>K</t>
  </si>
  <si>
    <t>DR Congo</t>
  </si>
  <si>
    <t>M017</t>
  </si>
  <si>
    <t>L</t>
  </si>
  <si>
    <t>Croacia</t>
  </si>
  <si>
    <t>M018</t>
  </si>
  <si>
    <t>Ghana</t>
  </si>
  <si>
    <t>Panamá</t>
  </si>
  <si>
    <t>🎯 REGISTRO DE APUESTAS (FORMULARIO)</t>
  </si>
  <si>
    <t>Complete: ID Participante, ID Partido y su pronóstico de goles. Las columnas en gris se calculan automáticamente.</t>
  </si>
  <si>
    <t>ID Apuesta</t>
  </si>
  <si>
    <t>ID Participante</t>
  </si>
  <si>
    <t>Nombre</t>
  </si>
  <si>
    <t>Local vs Visitante</t>
  </si>
  <si>
    <t>Goles Local (Apuesta)</t>
  </si>
  <si>
    <t>Goles Visitante (Apuesta)</t>
  </si>
  <si>
    <t>Pronóstico</t>
  </si>
  <si>
    <t>Puntos Obtenidos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</si>
  <si>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</si>
  <si>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</si>
  <si>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</si>
  <si>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</si>
  <si>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</si>
  <si>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</si>
  <si>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</si>
  <si>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</si>
  <si>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</si>
  <si>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</si>
  <si>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</si>
  <si>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</si>
  <si>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</si>
  <si>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</si>
  <si>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</si>
  <si>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</si>
  <si>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</si>
  <si>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</si>
  <si>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</si>
  <si>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</si>
  <si>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</si>
  <si>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</si>
  <si>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</si>
  <si>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</si>
  <si>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</si>
  <si>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</si>
  <si>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</si>
  <si>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</si>
  <si>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</si>
  <si>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</si>
  <si>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</si>
  <si>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</si>
  <si>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</si>
  <si>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</si>
  <si>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</si>
  <si>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📊 CARGA DE RESULTADOS OFICIALES</t>
  </si>
  <si>
    <t>Esta hoja muestra los partidos y permite cargar los resultados oficiales (sincronizado con la hoja Partidos).</t>
  </si>
  <si>
    <t>Goles Local</t>
  </si>
  <si>
    <t>Goles Visitante</t>
  </si>
  <si>
    <t>🏆 RANKING DE PARTICIPANTES</t>
  </si>
  <si>
    <t>Apuestas Realizadas</t>
  </si>
  <si>
    <t>Aciertos Exactos</t>
  </si>
  <si>
    <t>Puntaje Total</t>
  </si>
  <si>
    <t>% Aciertos</t>
  </si>
  <si>
    <t>📈 INFORMES Y ESTADÍSTICAS</t>
  </si>
  <si>
    <t>INFORME SEMANAL – Ranking Actualizado</t>
  </si>
  <si>
    <t>Fecha del informe:</t>
  </si>
  <si>
    <t>Pos.</t>
  </si>
  <si>
    <t>INFORME FINAL – Ganador y Estadísticas</t>
  </si>
  <si>
    <t>🥇 Ganador:</t>
  </si>
  <si>
    <t>Puntaje del ganador:</t>
  </si>
  <si>
    <t>Estadísticas globales:</t>
  </si>
  <si>
    <t>Total participantes:</t>
  </si>
  <si>
    <t>Participantes activos:</t>
  </si>
  <si>
    <t>Total apuestas registradas:</t>
  </si>
  <si>
    <t>Total partidos cargados:</t>
  </si>
  <si>
    <t>Partidos con resultado oficial:</t>
  </si>
  <si>
    <t>Puntaje promedio por participante:</t>
  </si>
  <si>
    <t>Puntaje máximo alcanzado:</t>
  </si>
  <si>
    <t>Aciertos exactos totales:</t>
  </si>
  <si>
    <t>CONFIGURACION - Listas de validacion</t>
  </si>
  <si>
    <t>Equipos</t>
  </si>
  <si>
    <t>Fases</t>
  </si>
  <si>
    <t>Grupos</t>
  </si>
  <si>
    <t>Resultado</t>
  </si>
  <si>
    <t>Sistema de Puntaje</t>
  </si>
  <si>
    <t>Local</t>
  </si>
  <si>
    <t>Dieciseisavos de Final</t>
  </si>
  <si>
    <t>Empate</t>
  </si>
  <si>
    <t>Ganador correcto + diferencia</t>
  </si>
  <si>
    <t>Octavos de Final</t>
  </si>
  <si>
    <t>Visitante</t>
  </si>
  <si>
    <t>Solo ganador correcto</t>
  </si>
  <si>
    <t>Cuartos de Final</t>
  </si>
  <si>
    <t>Resultado incorrecto</t>
  </si>
  <si>
    <t>Australia</t>
  </si>
  <si>
    <t>Semifinal</t>
  </si>
  <si>
    <t>Austria</t>
  </si>
  <si>
    <t>Tercer Puesto</t>
  </si>
  <si>
    <t>Final</t>
  </si>
  <si>
    <t>Colombia</t>
  </si>
  <si>
    <t>Irán</t>
  </si>
  <si>
    <t>Iraq</t>
  </si>
  <si>
    <t>Jordania</t>
  </si>
  <si>
    <t>Noruega</t>
  </si>
  <si>
    <t>Nueva Zelanda</t>
  </si>
  <si>
    <t>Suecia</t>
  </si>
  <si>
    <t>Túnez</t>
  </si>
  <si>
    <t>Turquía</t>
  </si>
  <si>
    <t>Uzbekistán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</si>
</sst>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8">
    <font>
      <sz val="11"/>
      <color theme="1"/>
      <name val="Calibri"/>
      <family val="2"/>
      <charset val="1"/>
    </font>
    <font>
      <b/>
      <u/>
      <sz val="11"/>
      <color rgb="FFFFFFFF"/>
      <name val="Arial"/>
      <charset val="1"/>
    </font>
    <font>
      <b/>
      <sz val="22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24"/>
      <color rgb="FFFFFFFF"/>
      <name val="Arial"/>
      <charset val="1"/>
    </font>
    <font>
      <b/>
      <sz val="24"/>
      <color rgb="FF1A1A1A"/>
      <name val="Arial"/>
      <charset val="1"/>
    </font>
    <font>
      <b/>
      <sz val="14"/>
      <color rgb="FF1A1A1A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A1A1A"/>
      <name val="Arial"/>
      <charset val="1"/>
    </font>
    <font>
      <b/>
      <sz val="10"/>
      <color rgb="FF005C36"/>
      <name val="Arial"/>
      <charset val="1"/>
    </font>
    <font>
      <b/>
      <sz val="12"/>
      <color rgb="FF1A1A1A"/>
      <name val="Arial"/>
      <charset val="1"/>
    </font>
    <font>
      <b/>
      <sz val="13"/>
      <color rgb="FF003DA5"/>
      <name val="Arial"/>
      <charset val="1"/>
    </font>
    <font>
      <i/>
      <sz val="9"/>
      <color rgb="FF666666"/>
      <name val="Arial"/>
      <charset val="1"/>
    </font>
    <font>
      <b/>
      <sz val="18"/>
      <color rgb="FFFFFFFF"/>
      <name val="Arial"/>
      <charset val="1"/>
    </font>
    <font>
      <b/>
      <sz val="10"/>
      <color rgb="FF003DA5"/>
      <name val="Arial"/>
      <charset val="1"/>
    </font>
    <font>
      <i/>
      <sz val="10"/>
      <color rgb="FF555555"/>
      <name val="Arial"/>
      <charset val="1"/>
    </font>
    <font>
      <b/>
      <sz val="11"/>
      <color rgb="FF005C36"/>
      <name val="Arial"/>
      <charset val="1"/>
    </font>
    <font>
      <b/>
      <sz val="18"/>
      <color rgb="FF1A1A1A"/>
      <name val="Arial"/>
      <charset val="1"/>
    </font>
    <font>
      <b/>
      <sz val="12"/>
      <color rgb="FF003DA5"/>
      <name val="Arial"/>
      <charset val="1"/>
    </font>
    <font>
      <b/>
      <sz val="12"/>
      <color rgb="FF005C36"/>
      <name val="Arial"/>
      <charset val="1"/>
    </font>
    <font>
      <b/>
      <sz val="14"/>
      <color rgb="FF003DA5"/>
      <name val="Arial"/>
      <charset val="1"/>
    </font>
    <font>
      <b/>
      <sz val="10"/>
      <name val="Arial"/>
      <charset val="1"/>
    </font>
    <font>
      <b/>
      <sz val="14"/>
      <color rgb="FFD52B1E"/>
      <name val="Arial"/>
      <charset val="1"/>
    </font>
    <font>
      <b/>
      <sz val="12"/>
      <name val="Arial"/>
      <charset val="1"/>
    </font>
    <font>
      <b/>
      <sz val="14"/>
      <color rgb="FF005C36"/>
      <name val="Arial"/>
      <charset val="1"/>
    </font>
    <font>
      <b/>
      <sz val="11"/>
      <color rgb="FF003DA5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08751"/>
        <bgColor rgb="FF005C36"/>
      </patternFill>
    </fill>
    <fill>
      <patternFill patternType="solid">
        <fgColor rgb="FFFFFFFF"/>
        <bgColor rgb="FFF9F9F9"/>
      </patternFill>
    </fill>
    <fill>
      <patternFill patternType="solid">
        <fgColor rgb="FF003DA5"/>
        <bgColor rgb="FF0066CC"/>
      </patternFill>
    </fill>
    <fill>
      <patternFill patternType="solid">
        <fgColor rgb="FFD52B1E"/>
        <bgColor rgb="FFBE4B48"/>
      </patternFill>
    </fill>
    <fill>
      <patternFill patternType="solid">
        <fgColor rgb="FFFFCC00"/>
        <bgColor rgb="FFFFFF00"/>
      </patternFill>
    </fill>
    <fill>
      <patternFill patternType="solid">
        <fgColor rgb="FFF4F6F8"/>
        <bgColor rgb="FFF9F9F9"/>
      </patternFill>
    </fill>
    <fill>
      <patternFill patternType="solid">
        <fgColor rgb="FFC6E8D5"/>
        <bgColor rgb="FFD9D9D9"/>
      </patternFill>
    </fill>
    <fill>
      <patternFill patternType="solid">
        <fgColor rgb="FFFFF4CC"/>
        <bgColor rgb="FFF9F9F9"/>
      </patternFill>
    </fill>
    <fill>
      <patternFill patternType="solid">
        <fgColor rgb="FF005C36"/>
        <bgColor rgb="FF008751"/>
      </patternFill>
    </fill>
  </fills>
  <borders count="5">
    <border>
      <left/>
      <right/>
      <top/>
      <bottom/>
      <diagonal/>
    </border>
    <border>
      <left style="thin">
        <color rgb="FFC9CED4"/>
      </left>
      <right style="thin">
        <color rgb="FFC9CED4"/>
      </right>
      <top style="thin">
        <color rgb="FFC9CED4"/>
      </top>
      <bottom style="thin">
        <color rgb="FFC9CED4"/>
      </bottom>
      <diagonal/>
    </border>
    <border>
      <left style="thin">
        <color rgb="FFC9CED4"/>
      </left>
      <right/>
      <top style="thin">
        <color rgb="FFC9CED4"/>
      </top>
      <bottom style="thin">
        <color rgb="FFC9CED4"/>
      </bottom>
      <diagonal/>
    </border>
    <border>
      <left/>
      <right/>
      <top/>
      <bottom style="medium">
        <color rgb="FF003DA5"/>
      </bottom>
      <diagonal/>
    </border>
    <border>
      <left/>
      <right/>
      <top/>
      <bottom style="medium">
        <color rgb="FFD52B1E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9" fillId="4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indent="1"/>
    </xf>
    <xf numFmtId="0" fontId="12" fillId="9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left" vertical="center"/>
      <protection locked="0"/>
    </xf>
    <xf numFmtId="0" fontId="11" fillId="7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11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6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3" fillId="0" borderId="0" xfId="0" applyFont="1"/>
    <xf numFmtId="14" fontId="0" fillId="0" borderId="0" xfId="0" applyNumberFormat="1"/>
    <xf numFmtId="0" fontId="25" fillId="0" borderId="0" xfId="0" applyFont="1"/>
    <xf numFmtId="0" fontId="26" fillId="9" borderId="0" xfId="0" applyFont="1" applyFill="1"/>
    <xf numFmtId="0" fontId="21" fillId="0" borderId="0" xfId="0" applyFont="1"/>
    <xf numFmtId="0" fontId="20" fillId="0" borderId="0" xfId="0" applyFont="1"/>
    <xf numFmtId="0" fontId="27" fillId="0" borderId="0" xfId="0" applyFont="1" applyAlignment="1">
      <alignment horizontal="left"/>
    </xf>
    <xf numFmtId="0" fontId="9" fillId="4" borderId="1" xfId="0" applyFont="1" applyFill="1" applyBorder="1" applyAlignment="1">
      <alignment horizontal="center"/>
    </xf>
    <xf numFmtId="0" fontId="0" fillId="0" borderId="1" xfId="0" applyBorder="1" applyProtection="1"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0" fillId="0" borderId="1" xfId="0" applyBorder="1"/>
    <xf numFmtId="0" fontId="14" fillId="3" borderId="0" xfId="0" applyFont="1" applyFill="1" applyAlignment="1">
      <alignment horizontal="center"/>
    </xf>
    <xf numFmtId="0" fontId="11" fillId="8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13" fillId="3" borderId="0" xfId="0" applyFont="1" applyFill="1" applyAlignment="1"/>
    <xf numFmtId="0" fontId="17" fillId="0" borderId="0" xfId="0" applyFont="1" applyAlignment="1"/>
    <xf numFmtId="0" fontId="24" fillId="0" borderId="4" xfId="0" applyFont="1" applyBorder="1" applyAlignment="1"/>
    <xf numFmtId="0" fontId="22" fillId="0" borderId="0" xfId="0" applyFont="1" applyAlignment="1"/>
  </cellXfs>
  <cellStyles count="1">
    <cellStyle name="Normal" xfId="0" builtinId="0"/>
  </cellStyles>
  <dxfs count="14">
    <dxf>
      <font>
        <b/>
        <color rgb="FF1A1A1A"/>
        <name val="Arial"/>
        <charset val="1"/>
      </font>
      <fill>
        <patternFill>
          <bgColor rgb="FFE8B984"/>
        </patternFill>
      </fill>
    </dxf>
    <dxf>
      <font>
        <b/>
        <color rgb="FF1A1A1A"/>
        <name val="Arial"/>
        <charset val="1"/>
      </font>
      <fill>
        <patternFill>
          <bgColor rgb="FFD9D9D9"/>
        </patternFill>
      </fill>
    </dxf>
    <dxf>
      <font>
        <b/>
        <color rgb="FF1A1A1A"/>
        <name val="Arial"/>
        <charset val="1"/>
      </font>
      <fill>
        <patternFill>
          <bgColor rgb="FFFFCC00"/>
        </patternFill>
      </fill>
    </dxf>
    <dxf>
      <font>
        <i/>
        <color rgb="FF8A6D00"/>
        <name val="Arial"/>
        <charset val="1"/>
      </font>
      <fill>
        <patternFill>
          <bgColor rgb="FFFFF4CC"/>
        </patternFill>
      </fill>
    </dxf>
    <dxf>
      <font>
        <b/>
        <color rgb="FF005C36"/>
        <name val="Arial"/>
        <charset val="1"/>
      </font>
      <fill>
        <patternFill>
          <bgColor rgb="FFC6E8D5"/>
        </patternFill>
      </fill>
    </dxf>
    <dxf>
      <font>
        <color rgb="FFD52B1E"/>
        <name val="Arial"/>
        <charset val="1"/>
      </font>
      <fill>
        <patternFill>
          <bgColor rgb="FFF8D2CF"/>
        </patternFill>
      </fill>
    </dxf>
    <dxf>
      <font>
        <b/>
        <color rgb="FF005C36"/>
        <name val="Arial"/>
        <charset val="1"/>
      </font>
      <fill>
        <patternFill>
          <bgColor rgb="FFC6E8D5"/>
        </patternFill>
      </fill>
    </dxf>
    <dxf>
      <font>
        <b/>
        <color rgb="FF1A1A1A"/>
        <name val="Arial"/>
        <charset val="1"/>
      </font>
      <fill>
        <patternFill>
          <bgColor rgb="FFFFCC00"/>
        </patternFill>
      </fill>
    </dxf>
    <dxf>
      <font>
        <b/>
        <color rgb="FF1A1A1A"/>
        <name val="Arial"/>
        <charset val="1"/>
      </font>
      <fill>
        <patternFill>
          <bgColor rgb="FFFFCC00"/>
        </patternFill>
      </fill>
    </dxf>
    <dxf>
      <font>
        <b/>
        <color rgb="FFFFFFFF"/>
        <name val="Arial"/>
        <charset val="1"/>
      </font>
      <fill>
        <patternFill>
          <bgColor rgb="FFD52B1E"/>
        </patternFill>
      </fill>
    </dxf>
    <dxf>
      <font>
        <i/>
        <color rgb="FF888888"/>
        <name val="Arial"/>
        <charset val="1"/>
      </font>
      <fill>
        <patternFill>
          <bgColor rgb="FFF4F6F8"/>
        </patternFill>
      </fill>
    </dxf>
    <dxf>
      <font>
        <b/>
        <color rgb="FF005C36"/>
        <name val="Arial"/>
        <charset val="1"/>
      </font>
      <fill>
        <patternFill>
          <bgColor rgb="FFFFF4CC"/>
        </patternFill>
      </fill>
    </dxf>
    <dxf>
      <font>
        <b/>
        <color rgb="FFD52B1E"/>
        <name val="Arial"/>
        <charset val="1"/>
      </font>
      <fill>
        <patternFill>
          <bgColor rgb="FFF8D2CF"/>
        </patternFill>
      </fill>
    </dxf>
    <dxf>
      <font>
        <b/>
        <color rgb="FF005C36"/>
        <name val="Arial"/>
        <charset val="1"/>
      </font>
      <fill>
        <patternFill>
          <bgColor rgb="FFC6E8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5C36"/>
      <rgbColor rgb="FF000080"/>
      <rgbColor rgb="FF8A6D00"/>
      <rgbColor rgb="FF800080"/>
      <rgbColor rgb="FF008751"/>
      <rgbColor rgb="FFC9CED4"/>
      <rgbColor rgb="FF878787"/>
      <rgbColor rgb="FF93A9CE"/>
      <rgbColor rgb="FFAB4744"/>
      <rgbColor rgb="FFFFF4CC"/>
      <rgbColor rgb="FFF4F6F8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9F9F9"/>
      <rgbColor rgb="FFC6E8D5"/>
      <rgbColor rgb="FFFFFF99"/>
      <rgbColor rgb="FF99CCFF"/>
      <rgbColor rgb="FFD09493"/>
      <rgbColor rgb="FFE8B984"/>
      <rgbColor rgb="FFF8D2CF"/>
      <rgbColor rgb="FF4672A8"/>
      <rgbColor rgb="FF33CCCC"/>
      <rgbColor rgb="FF8AA64F"/>
      <rgbColor rgb="FFFFCC00"/>
      <rgbColor rgb="FFFF9900"/>
      <rgbColor rgb="FFFF6600"/>
      <rgbColor rgb="FF725990"/>
      <rgbColor rgb="FF888888"/>
      <rgbColor rgb="FF003DA5"/>
      <rgbColor rgb="FF4299B0"/>
      <rgbColor rgb="FF003300"/>
      <rgbColor rgb="FF666666"/>
      <rgbColor rgb="FFD52B1E"/>
      <rgbColor rgb="FFBE4B48"/>
      <rgbColor rgb="FF555555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Distribución de apuestas por equipo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Dashboard!B16</c:f>
              <c:strCache>
                <c:ptCount val="1"/>
                <c:pt idx="0">
                  <c:v>Apuestas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4D5-45B6-AB28-DBFF4B5D988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4D5-45B6-AB28-DBFF4B5D988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4D5-45B6-AB28-DBFF4B5D988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4D5-45B6-AB28-DBFF4B5D988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4D5-45B6-AB28-DBFF4B5D988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4D5-45B6-AB28-DBFF4B5D988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4D5-45B6-AB28-DBFF4B5D9887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4D5-45B6-AB28-DBFF4B5D988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D5-45B6-AB28-DBFF4B5D988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D5-45B6-AB28-DBFF4B5D988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D5-45B6-AB28-DBFF4B5D988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D5-45B6-AB28-DBFF4B5D988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D5-45B6-AB28-DBFF4B5D988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4D5-45B6-AB28-DBFF4B5D988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4D5-45B6-AB28-DBFF4B5D988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D5-45B6-AB28-DBFF4B5D98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Dashboard!$A$17:$A$24</c:f>
              <c:strCache>
                <c:ptCount val="8"/>
                <c:pt idx="0">
                  <c:v>México</c:v>
                </c:pt>
                <c:pt idx="1">
                  <c:v>Brasil</c:v>
                </c:pt>
                <c:pt idx="2">
                  <c:v>Alemania</c:v>
                </c:pt>
                <c:pt idx="3">
                  <c:v>Estados Unidos</c:v>
                </c:pt>
                <c:pt idx="4">
                  <c:v>Suiza</c:v>
                </c:pt>
                <c:pt idx="5">
                  <c:v>Corea del Sur</c:v>
                </c:pt>
                <c:pt idx="6">
                  <c:v>Canadá</c:v>
                </c:pt>
                <c:pt idx="7">
                  <c:v>Marruecos</c:v>
                </c:pt>
              </c:strCache>
            </c:strRef>
          </c:cat>
          <c:val>
            <c:numRef>
              <c:f>Dashboard!$B$17:$B$24</c:f>
              <c:numCache>
                <c:formatCode>General</c:formatCode>
                <c:ptCount val="8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4D5-45B6-AB28-DBFF4B5D9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Puntajes Acumulados por Participante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Ranking!F5</c:f>
              <c:strCache>
                <c:ptCount val="1"/>
                <c:pt idx="0">
                  <c:v>Puntaje 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Ranking!$C$6:$C$15</c:f>
              <c:strCache>
                <c:ptCount val="10"/>
                <c:pt idx="0">
                  <c:v>Juan Pérez</c:v>
                </c:pt>
                <c:pt idx="1">
                  <c:v>María García</c:v>
                </c:pt>
                <c:pt idx="2">
                  <c:v>Lucas Rodríguez</c:v>
                </c:pt>
                <c:pt idx="3">
                  <c:v>Sofía Martínez</c:v>
                </c:pt>
                <c:pt idx="4">
                  <c:v>Diego Silva</c:v>
                </c:pt>
                <c:pt idx="5">
                  <c:v>Ana López</c:v>
                </c:pt>
                <c:pt idx="6">
                  <c:v>Martín Fernández</c:v>
                </c:pt>
                <c:pt idx="7">
                  <c:v>Carolina Díaz</c:v>
                </c:pt>
                <c:pt idx="8">
                  <c:v>Federico Romero</c:v>
                </c:pt>
                <c:pt idx="9">
                  <c:v>Valentina Castro</c:v>
                </c:pt>
              </c:strCache>
            </c:strRef>
          </c:cat>
          <c:val>
            <c:numRef>
              <c:f>Ranking!$F$6:$F$15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D-4F5E-B8A0-ADFFEE525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27195"/>
        <c:axId val="27137444"/>
      </c:barChart>
      <c:catAx>
        <c:axId val="2522719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37444"/>
        <c:crosses val="autoZero"/>
        <c:auto val="1"/>
        <c:lblAlgn val="ctr"/>
        <c:lblOffset val="100"/>
        <c:noMultiLvlLbl val="0"/>
      </c:catAx>
      <c:valAx>
        <c:axId val="271374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Participante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271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Evolución de Puntajes por Participante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Ranking!F5</c:f>
              <c:strCache>
                <c:ptCount val="1"/>
                <c:pt idx="0">
                  <c:v>Puntaje Total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Ranking!$C$6:$C$15</c:f>
              <c:strCache>
                <c:ptCount val="10"/>
                <c:pt idx="0">
                  <c:v>Juan Pérez</c:v>
                </c:pt>
                <c:pt idx="1">
                  <c:v>María García</c:v>
                </c:pt>
                <c:pt idx="2">
                  <c:v>Lucas Rodríguez</c:v>
                </c:pt>
                <c:pt idx="3">
                  <c:v>Sofía Martínez</c:v>
                </c:pt>
                <c:pt idx="4">
                  <c:v>Diego Silva</c:v>
                </c:pt>
                <c:pt idx="5">
                  <c:v>Ana López</c:v>
                </c:pt>
                <c:pt idx="6">
                  <c:v>Martín Fernández</c:v>
                </c:pt>
                <c:pt idx="7">
                  <c:v>Carolina Díaz</c:v>
                </c:pt>
                <c:pt idx="8">
                  <c:v>Federico Romero</c:v>
                </c:pt>
                <c:pt idx="9">
                  <c:v>Valentina Castro</c:v>
                </c:pt>
              </c:strCache>
            </c:strRef>
          </c:cat>
          <c:val>
            <c:numRef>
              <c:f>Ranking!$F$6:$F$15</c:f>
              <c:numCache>
                <c:formatCode>General</c:formatCode>
                <c:ptCount val="10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5</c:v>
                </c:pt>
                <c:pt idx="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639-410F-9B26-EAF06BEDD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79771"/>
        <c:axId val="21553044"/>
      </c:lineChart>
      <c:catAx>
        <c:axId val="68797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Participante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553044"/>
        <c:crosses val="autoZero"/>
        <c:auto val="1"/>
        <c:lblAlgn val="ctr"/>
        <c:lblOffset val="100"/>
        <c:noMultiLvlLbl val="0"/>
      </c:catAx>
      <c:valAx>
        <c:axId val="21553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Puntos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79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190440</xdr:rowOff>
    </xdr:from>
    <xdr:to>
      <xdr:col>8</xdr:col>
      <xdr:colOff>98280</xdr:colOff>
      <xdr:row>31</xdr:row>
      <xdr:rowOff>176760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21</xdr:col>
      <xdr:colOff>375</xdr:colOff>
      <xdr:row>25</xdr:row>
      <xdr:rowOff>109440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10</xdr:col>
      <xdr:colOff>416160</xdr:colOff>
      <xdr:row>20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zoomScaleNormal="100" workbookViewId="0"/>
  </sheetViews>
  <sheetFormatPr defaultColWidth="8.7109375" defaultRowHeight="15"/>
  <cols>
    <col min="1" max="9" width="13" customWidth="1"/>
  </cols>
  <sheetData>
    <row r="1" spans="1:13" ht="25.5" customHeight="1">
      <c r="A1" s="1" t="str">
        <f>HYPERLINK("#'Dashboard'!A1","🏠 INICIO")</f>
        <v>🏠 INICIO</v>
      </c>
      <c r="B1" s="1" t="str">
        <f>HYPERLINK("#'Participantes'!A1","👥 PARTICIPANTES")</f>
        <v>👥 PARTICIPANTES</v>
      </c>
      <c r="C1" s="1" t="str">
        <f>HYPERLINK("#'Partidos'!A1","⚽ PARTIDOS")</f>
        <v>⚽ PARTIDOS</v>
      </c>
      <c r="D1" s="1" t="str">
        <f>HYPERLINK("#'Apuestas'!A1","🎯 APUESTAS")</f>
        <v>🎯 APUESTAS</v>
      </c>
      <c r="E1" s="1" t="str">
        <f>HYPERLINK("#'Resultados'!A1","📊 RESULTADOS")</f>
        <v>📊 RESULTADOS</v>
      </c>
      <c r="F1" s="1" t="str">
        <f>HYPERLINK("#'Ranking'!A1","🏆 RANKING")</f>
        <v>🏆 RANKING</v>
      </c>
      <c r="G1" s="1" t="str">
        <f>HYPERLINK("#'Informes'!A1","📈 INFORMES")</f>
        <v>📈 INFORMES</v>
      </c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45.75" customHeight="1">
      <c r="A3" s="47" t="s">
        <v>0</v>
      </c>
      <c r="B3" s="47"/>
      <c r="C3" s="47"/>
      <c r="D3" s="47"/>
      <c r="E3" s="47"/>
      <c r="F3" s="47"/>
      <c r="G3" s="47"/>
      <c r="H3" s="2"/>
      <c r="I3" s="2"/>
      <c r="J3" s="2"/>
      <c r="K3" s="2"/>
      <c r="L3" s="2"/>
      <c r="M3" s="2"/>
    </row>
    <row r="4" spans="1:13" ht="21.75" customHeight="1">
      <c r="A4" s="48" t="s">
        <v>1</v>
      </c>
      <c r="B4" s="48"/>
      <c r="C4" s="48"/>
      <c r="D4" s="48"/>
      <c r="E4" s="48"/>
      <c r="F4" s="48"/>
      <c r="G4" s="48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75" customHeight="1">
      <c r="A6" s="49" t="s">
        <v>2</v>
      </c>
      <c r="B6" s="49"/>
      <c r="C6" s="50" t="s">
        <v>3</v>
      </c>
      <c r="D6" s="50"/>
      <c r="E6" s="51" t="s">
        <v>4</v>
      </c>
      <c r="F6" s="51"/>
      <c r="G6" s="52" t="s">
        <v>5</v>
      </c>
      <c r="H6" s="52"/>
      <c r="I6" s="2"/>
      <c r="J6" s="2"/>
      <c r="K6" s="2"/>
      <c r="L6" s="2"/>
      <c r="M6" s="2"/>
    </row>
    <row r="7" spans="1:13" ht="60" customHeight="1">
      <c r="A7" s="41">
        <f>COUNTIF(Participantes!$F$6:$F$200,"Activo")</f>
        <v>9</v>
      </c>
      <c r="B7" s="41"/>
      <c r="C7" s="42">
        <f>COUNTA(Apuestas!$A$6:$A$1000)</f>
        <v>35</v>
      </c>
      <c r="D7" s="42"/>
      <c r="E7" s="43">
        <f>SUMPRODUCT((Partidos!$G$6:$G$200&lt;&gt;"")*(Partidos!$H$6:$H$200&lt;&gt;""))</f>
        <v>8</v>
      </c>
      <c r="F7" s="43"/>
      <c r="G7" s="44">
        <f>IFERROR(COUNTIF(Apuestas!$J$6:$J$1000,"&gt;0")/COUNTA(Apuestas!$J$6:$J$1000),0)</f>
        <v>0.34285714285714286</v>
      </c>
      <c r="H7" s="44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5.5" customHeight="1">
      <c r="A9" s="45" t="s">
        <v>6</v>
      </c>
      <c r="B9" s="45"/>
      <c r="C9" s="45"/>
      <c r="D9" s="2"/>
      <c r="E9" s="46" t="s">
        <v>7</v>
      </c>
      <c r="F9" s="46"/>
      <c r="G9" s="46"/>
      <c r="H9" s="2"/>
      <c r="I9" s="2"/>
      <c r="J9" s="2"/>
      <c r="K9" s="2"/>
      <c r="L9" s="2"/>
      <c r="M9" s="2"/>
    </row>
    <row r="10" spans="1:13" ht="21.75" customHeight="1">
      <c r="A10" s="3" t="s">
        <v>8</v>
      </c>
      <c r="B10" s="3" t="s">
        <v>9</v>
      </c>
      <c r="C10" s="3" t="s">
        <v>10</v>
      </c>
      <c r="D10" s="2"/>
      <c r="E10" s="4" t="s">
        <v>11</v>
      </c>
      <c r="F10" s="40" t="str">
        <f>Config!G4 &amp; " pts"</f>
        <v>5 pts</v>
      </c>
      <c r="G10" s="40"/>
      <c r="H10" s="2"/>
      <c r="I10" s="2"/>
      <c r="J10" s="2"/>
      <c r="K10" s="2"/>
      <c r="L10" s="2"/>
      <c r="M10" s="2"/>
    </row>
    <row r="11" spans="1:13" ht="21.75" customHeight="1">
      <c r="A11" s="5" t="s">
        <v>12</v>
      </c>
      <c r="B11" s="6" t="str">
        <f>IFERROR(INDEX(Ranking!$C$6:$C$15,MATCH(1,Ranking!$A$6:$A$15,0)),"")</f>
        <v>Juan Pérez</v>
      </c>
      <c r="C11" s="6">
        <f>IFERROR(INDEX(Ranking!$F$6:$F$15,MATCH(1,Ranking!$A$6:$A$15,0)),"")</f>
        <v>6</v>
      </c>
      <c r="D11" s="2"/>
      <c r="E11" s="4" t="s">
        <v>13</v>
      </c>
      <c r="F11" s="40" t="str">
        <f>Config!G5 &amp; " pts"</f>
        <v>3 pts</v>
      </c>
      <c r="G11" s="40"/>
      <c r="H11" s="2"/>
      <c r="I11" s="2"/>
      <c r="J11" s="2"/>
      <c r="K11" s="2"/>
      <c r="L11" s="2"/>
      <c r="M11" s="2"/>
    </row>
    <row r="12" spans="1:13" ht="21.75" customHeight="1">
      <c r="A12" s="5" t="s">
        <v>14</v>
      </c>
      <c r="B12" s="6" t="str">
        <f>IFERROR(INDEX(Ranking!$C$6:$C$15,MATCH(2,Ranking!$A$6:$A$15,0)),"")</f>
        <v>Diego Silva</v>
      </c>
      <c r="C12" s="6">
        <f>IFERROR(INDEX(Ranking!$F$6:$F$15,MATCH(2,Ranking!$A$6:$A$15,0)),"")</f>
        <v>5</v>
      </c>
      <c r="D12" s="2"/>
      <c r="E12" s="4" t="s">
        <v>15</v>
      </c>
      <c r="F12" s="40" t="str">
        <f>Config!G6 &amp; " pts"</f>
        <v>1 pts</v>
      </c>
      <c r="G12" s="40"/>
      <c r="H12" s="2"/>
      <c r="I12" s="2"/>
      <c r="J12" s="2"/>
      <c r="K12" s="2"/>
      <c r="L12" s="2"/>
      <c r="M12" s="2"/>
    </row>
    <row r="13" spans="1:13" ht="21.75" customHeight="1">
      <c r="A13" s="5" t="s">
        <v>16</v>
      </c>
      <c r="B13" s="6" t="str">
        <f>IFERROR(INDEX(Ranking!$C$6:$C$15,MATCH(3,Ranking!$A$6:$A$15,0)),"")</f>
        <v/>
      </c>
      <c r="C13" s="6" t="str">
        <f>IFERROR(INDEX(Ranking!$F$6:$F$15,MATCH(3,Ranking!$A$6:$A$15,0)),"")</f>
        <v/>
      </c>
      <c r="D13" s="2"/>
      <c r="E13" s="4" t="s">
        <v>17</v>
      </c>
      <c r="F13" s="40" t="str">
        <f>Config!G7 &amp; " pts"</f>
        <v>0 pts</v>
      </c>
      <c r="G13" s="40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6.149999999999999">
      <c r="A15" s="59" t="s">
        <v>18</v>
      </c>
      <c r="B15" s="59"/>
      <c r="C15" s="59"/>
      <c r="D15" s="59"/>
      <c r="E15" s="59"/>
      <c r="F15" s="59"/>
      <c r="G15" s="59"/>
      <c r="H15" s="2"/>
      <c r="I15" s="2"/>
      <c r="J15" s="2"/>
      <c r="K15" s="2"/>
      <c r="L15" s="2"/>
      <c r="M15" s="2"/>
    </row>
    <row r="16" spans="1:13">
      <c r="A16" s="3" t="s">
        <v>19</v>
      </c>
      <c r="B16" s="3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7" t="s">
        <v>21</v>
      </c>
      <c r="B17" s="8">
        <f>COUNTIF(Apuestas!$F$6:$F$1000,"*"&amp;A17&amp;"*")</f>
        <v>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7" t="s">
        <v>22</v>
      </c>
      <c r="B18" s="8">
        <f>COUNTIF(Apuestas!$F$6:$F$1000,"*"&amp;A18&amp;"*")</f>
        <v>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7" t="s">
        <v>23</v>
      </c>
      <c r="B19" s="8">
        <f>COUNTIF(Apuestas!$F$6:$F$1000,"*"&amp;A19&amp;"*")</f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7" t="s">
        <v>24</v>
      </c>
      <c r="B20" s="8">
        <f>COUNTIF(Apuestas!$F$6:$F$1000,"*"&amp;A20&amp;"*")</f>
        <v>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7" t="s">
        <v>25</v>
      </c>
      <c r="B21" s="8">
        <f>COUNTIF(Apuestas!$F$6:$F$1000,"*"&amp;A21&amp;"*")</f>
        <v>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7" t="s">
        <v>26</v>
      </c>
      <c r="B22" s="8">
        <f>COUNTIF(Apuestas!$F$6:$F$1000,"*"&amp;A22&amp;"*")</f>
        <v>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7" t="s">
        <v>27</v>
      </c>
      <c r="B23" s="8">
        <f>COUNTIF(Apuestas!$F$6:$F$1000,"*"&amp;A23&amp;"*")</f>
        <v>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7" t="s">
        <v>28</v>
      </c>
      <c r="B24" s="8">
        <f>COUNTIF(Apuestas!$F$6:$F$1000,"*"&amp;A24&amp;"*")</f>
        <v>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39" t="s">
        <v>29</v>
      </c>
      <c r="B28" s="39"/>
      <c r="C28" s="39"/>
      <c r="D28" s="39"/>
      <c r="E28" s="39"/>
      <c r="F28" s="39"/>
      <c r="G28" s="39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</sheetData>
  <sheetProtection password="8CD6" sheet="1"/>
  <mergeCells count="18">
    <mergeCell ref="A3:G3"/>
    <mergeCell ref="A4:G4"/>
    <mergeCell ref="A6:B6"/>
    <mergeCell ref="C6:D6"/>
    <mergeCell ref="E6:F6"/>
    <mergeCell ref="G6:H6"/>
    <mergeCell ref="A7:B7"/>
    <mergeCell ref="C7:D7"/>
    <mergeCell ref="E7:F7"/>
    <mergeCell ref="G7:H7"/>
    <mergeCell ref="A9:C9"/>
    <mergeCell ref="E9:G9"/>
    <mergeCell ref="A28:G28"/>
    <mergeCell ref="F10:G10"/>
    <mergeCell ref="F11:G11"/>
    <mergeCell ref="F12:G12"/>
    <mergeCell ref="F13:G13"/>
    <mergeCell ref="A15:G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10" customWidth="1"/>
    <col min="2" max="2" width="26" customWidth="1"/>
    <col min="3" max="3" width="28" customWidth="1"/>
    <col min="4" max="4" width="20" customWidth="1"/>
    <col min="5" max="5" width="14" customWidth="1"/>
    <col min="6" max="6" width="12" customWidth="1"/>
    <col min="7" max="7" width="22" customWidth="1"/>
  </cols>
  <sheetData>
    <row r="1" spans="1:7" ht="25.5" customHeight="1">
      <c r="A1" s="1" t="str">
        <f>HYPERLINK("#'Dashboard'!A1","🏠 INICIO")</f>
        <v>🏠 INICIO</v>
      </c>
      <c r="B1" s="1" t="str">
        <f>HYPERLINK("#'Participantes'!A1","👥 PARTICIPANTES")</f>
        <v>👥 PARTICIPANTES</v>
      </c>
      <c r="C1" s="1" t="str">
        <f>HYPERLINK("#'Partidos'!A1","⚽ PARTIDOS")</f>
        <v>⚽ PARTIDOS</v>
      </c>
      <c r="D1" s="1" t="str">
        <f>HYPERLINK("#'Apuestas'!A1","🎯 APUESTAS")</f>
        <v>🎯 APUESTAS</v>
      </c>
      <c r="E1" s="1" t="str">
        <f>HYPERLINK("#'Resultados'!A1","📊 RESULTADOS")</f>
        <v>📊 RESULTADOS</v>
      </c>
      <c r="F1" s="1" t="str">
        <f>HYPERLINK("#'Ranking'!A1","🏆 RANKING")</f>
        <v>🏆 RANKING</v>
      </c>
      <c r="G1" s="1" t="str">
        <f>HYPERLINK("#'Informes'!A1","📈 INFORMES")</f>
        <v>📈 INFORMES</v>
      </c>
    </row>
    <row r="3" spans="1:7" ht="31.5" customHeight="1">
      <c r="A3" s="53" t="s">
        <v>30</v>
      </c>
      <c r="B3" s="53"/>
      <c r="C3" s="53"/>
      <c r="D3" s="53"/>
      <c r="E3" s="53"/>
      <c r="F3" s="53"/>
      <c r="G3" s="53"/>
    </row>
    <row r="5" spans="1:7" ht="30" customHeight="1">
      <c r="A5" s="9" t="s">
        <v>31</v>
      </c>
      <c r="B5" s="9" t="s">
        <v>32</v>
      </c>
      <c r="C5" s="9" t="s">
        <v>33</v>
      </c>
      <c r="D5" s="9" t="s">
        <v>34</v>
      </c>
      <c r="E5" s="9" t="s">
        <v>35</v>
      </c>
      <c r="F5" s="9" t="s">
        <v>36</v>
      </c>
      <c r="G5" s="9" t="s">
        <v>37</v>
      </c>
    </row>
    <row r="6" spans="1:7">
      <c r="A6" s="10" t="s">
        <v>38</v>
      </c>
      <c r="B6" s="11" t="s">
        <v>39</v>
      </c>
      <c r="C6" s="11" t="s">
        <v>40</v>
      </c>
      <c r="D6" s="10" t="s">
        <v>41</v>
      </c>
      <c r="E6" s="10" t="s">
        <v>42</v>
      </c>
      <c r="F6" s="10" t="s">
        <v>43</v>
      </c>
      <c r="G6" s="12">
        <f>COUNTIF(Apuestas!$B$6:$B$1000,A6)</f>
        <v>5</v>
      </c>
    </row>
    <row r="7" spans="1:7">
      <c r="A7" s="13" t="s">
        <v>44</v>
      </c>
      <c r="B7" s="14" t="s">
        <v>45</v>
      </c>
      <c r="C7" s="14" t="s">
        <v>46</v>
      </c>
      <c r="D7" s="13" t="s">
        <v>22</v>
      </c>
      <c r="E7" s="13" t="s">
        <v>47</v>
      </c>
      <c r="F7" s="13" t="s">
        <v>43</v>
      </c>
      <c r="G7" s="15">
        <f>COUNTIF(Apuestas!$B$6:$B$1000,A7)</f>
        <v>5</v>
      </c>
    </row>
    <row r="8" spans="1:7">
      <c r="A8" s="10" t="s">
        <v>48</v>
      </c>
      <c r="B8" s="11" t="s">
        <v>49</v>
      </c>
      <c r="C8" s="11" t="s">
        <v>50</v>
      </c>
      <c r="D8" s="10" t="s">
        <v>51</v>
      </c>
      <c r="E8" s="10" t="s">
        <v>52</v>
      </c>
      <c r="F8" s="10" t="s">
        <v>43</v>
      </c>
      <c r="G8" s="12">
        <f>COUNTIF(Apuestas!$B$6:$B$1000,A8)</f>
        <v>5</v>
      </c>
    </row>
    <row r="9" spans="1:7">
      <c r="A9" s="13" t="s">
        <v>53</v>
      </c>
      <c r="B9" s="14" t="s">
        <v>54</v>
      </c>
      <c r="C9" s="14" t="s">
        <v>55</v>
      </c>
      <c r="D9" s="13" t="s">
        <v>56</v>
      </c>
      <c r="E9" s="13" t="s">
        <v>57</v>
      </c>
      <c r="F9" s="13" t="s">
        <v>43</v>
      </c>
      <c r="G9" s="15">
        <f>COUNTIF(Apuestas!$B$6:$B$1000,A9)</f>
        <v>5</v>
      </c>
    </row>
    <row r="10" spans="1:7">
      <c r="A10" s="10" t="s">
        <v>58</v>
      </c>
      <c r="B10" s="11" t="s">
        <v>59</v>
      </c>
      <c r="C10" s="11" t="s">
        <v>60</v>
      </c>
      <c r="D10" s="10" t="s">
        <v>61</v>
      </c>
      <c r="E10" s="10" t="s">
        <v>62</v>
      </c>
      <c r="F10" s="10" t="s">
        <v>43</v>
      </c>
      <c r="G10" s="12">
        <f>COUNTIF(Apuestas!$B$6:$B$1000,A10)</f>
        <v>3</v>
      </c>
    </row>
    <row r="11" spans="1:7">
      <c r="A11" s="13" t="s">
        <v>63</v>
      </c>
      <c r="B11" s="14" t="s">
        <v>64</v>
      </c>
      <c r="C11" s="14" t="s">
        <v>65</v>
      </c>
      <c r="D11" s="13" t="s">
        <v>66</v>
      </c>
      <c r="E11" s="13" t="s">
        <v>67</v>
      </c>
      <c r="F11" s="13" t="s">
        <v>43</v>
      </c>
      <c r="G11" s="15">
        <f>COUNTIF(Apuestas!$B$6:$B$1000,A11)</f>
        <v>3</v>
      </c>
    </row>
    <row r="12" spans="1:7">
      <c r="A12" s="10" t="s">
        <v>68</v>
      </c>
      <c r="B12" s="11" t="s">
        <v>69</v>
      </c>
      <c r="C12" s="11" t="s">
        <v>70</v>
      </c>
      <c r="D12" s="10" t="s">
        <v>23</v>
      </c>
      <c r="E12" s="10" t="s">
        <v>71</v>
      </c>
      <c r="F12" s="10" t="s">
        <v>43</v>
      </c>
      <c r="G12" s="12">
        <f>COUNTIF(Apuestas!$B$6:$B$1000,A12)</f>
        <v>3</v>
      </c>
    </row>
    <row r="13" spans="1:7">
      <c r="A13" s="13" t="s">
        <v>72</v>
      </c>
      <c r="B13" s="14" t="s">
        <v>73</v>
      </c>
      <c r="C13" s="14" t="s">
        <v>74</v>
      </c>
      <c r="D13" s="13" t="s">
        <v>75</v>
      </c>
      <c r="E13" s="13" t="s">
        <v>76</v>
      </c>
      <c r="F13" s="13" t="s">
        <v>43</v>
      </c>
      <c r="G13" s="15">
        <f>COUNTIF(Apuestas!$B$6:$B$1000,A13)</f>
        <v>3</v>
      </c>
    </row>
    <row r="14" spans="1:7">
      <c r="A14" s="10" t="s">
        <v>77</v>
      </c>
      <c r="B14" s="11" t="s">
        <v>78</v>
      </c>
      <c r="C14" s="11" t="s">
        <v>79</v>
      </c>
      <c r="D14" s="10" t="s">
        <v>80</v>
      </c>
      <c r="E14" s="10" t="s">
        <v>81</v>
      </c>
      <c r="F14" s="10" t="s">
        <v>43</v>
      </c>
      <c r="G14" s="12">
        <f>COUNTIF(Apuestas!$B$6:$B$1000,A14)</f>
        <v>3</v>
      </c>
    </row>
    <row r="15" spans="1:7">
      <c r="A15" s="13" t="s">
        <v>82</v>
      </c>
      <c r="B15" s="14" t="s">
        <v>83</v>
      </c>
      <c r="C15" s="14" t="s">
        <v>84</v>
      </c>
      <c r="D15" s="13" t="s">
        <v>21</v>
      </c>
      <c r="E15" s="13" t="s">
        <v>85</v>
      </c>
      <c r="F15" s="13" t="s">
        <v>86</v>
      </c>
      <c r="G15" s="15">
        <f>COUNTIF(Apuestas!$B$6:$B$1000,A15)</f>
        <v>0</v>
      </c>
    </row>
    <row r="16" spans="1:7">
      <c r="A16" s="16"/>
      <c r="B16" s="16"/>
      <c r="C16" s="16"/>
      <c r="D16" s="16"/>
      <c r="E16" s="16"/>
      <c r="F16" s="16"/>
    </row>
    <row r="17" spans="1:6">
      <c r="A17" s="16"/>
      <c r="B17" s="16"/>
      <c r="C17" s="16"/>
      <c r="D17" s="16"/>
      <c r="E17" s="16"/>
      <c r="F17" s="16"/>
    </row>
    <row r="18" spans="1:6">
      <c r="A18" s="16"/>
      <c r="B18" s="16"/>
      <c r="C18" s="16"/>
      <c r="D18" s="16"/>
      <c r="E18" s="16"/>
      <c r="F18" s="16"/>
    </row>
    <row r="19" spans="1:6">
      <c r="A19" s="16"/>
      <c r="B19" s="16"/>
      <c r="C19" s="16"/>
      <c r="D19" s="16"/>
      <c r="E19" s="16"/>
      <c r="F19" s="16"/>
    </row>
    <row r="20" spans="1:6">
      <c r="A20" s="16"/>
      <c r="B20" s="16"/>
      <c r="C20" s="16"/>
      <c r="D20" s="16"/>
      <c r="E20" s="16"/>
      <c r="F20" s="16"/>
    </row>
    <row r="21" spans="1:6">
      <c r="A21" s="16"/>
      <c r="B21" s="16"/>
      <c r="C21" s="16"/>
      <c r="D21" s="16"/>
      <c r="E21" s="16"/>
      <c r="F21" s="16"/>
    </row>
    <row r="22" spans="1:6">
      <c r="A22" s="16"/>
      <c r="B22" s="16"/>
      <c r="C22" s="16"/>
      <c r="D22" s="16"/>
      <c r="E22" s="16"/>
      <c r="F22" s="16"/>
    </row>
    <row r="23" spans="1:6">
      <c r="A23" s="16"/>
      <c r="B23" s="16"/>
      <c r="C23" s="16"/>
      <c r="D23" s="16"/>
      <c r="E23" s="16"/>
      <c r="F23" s="16"/>
    </row>
    <row r="24" spans="1:6">
      <c r="A24" s="16"/>
      <c r="B24" s="16"/>
      <c r="C24" s="16"/>
      <c r="D24" s="16"/>
      <c r="E24" s="16"/>
      <c r="F24" s="16"/>
    </row>
    <row r="25" spans="1:6">
      <c r="A25" s="16"/>
      <c r="B25" s="16"/>
      <c r="C25" s="16"/>
      <c r="D25" s="16"/>
      <c r="E25" s="16"/>
      <c r="F25" s="16"/>
    </row>
    <row r="26" spans="1:6">
      <c r="A26" s="16"/>
      <c r="B26" s="16"/>
      <c r="C26" s="16"/>
      <c r="D26" s="16"/>
      <c r="E26" s="16"/>
      <c r="F26" s="16"/>
    </row>
    <row r="27" spans="1:6">
      <c r="A27" s="16"/>
      <c r="B27" s="16"/>
      <c r="C27" s="16"/>
      <c r="D27" s="16"/>
      <c r="E27" s="16"/>
      <c r="F27" s="16"/>
    </row>
    <row r="28" spans="1:6">
      <c r="A28" s="16"/>
      <c r="B28" s="16"/>
      <c r="C28" s="16"/>
      <c r="D28" s="16"/>
      <c r="E28" s="16"/>
      <c r="F28" s="16"/>
    </row>
    <row r="29" spans="1:6">
      <c r="A29" s="16"/>
      <c r="B29" s="16"/>
      <c r="C29" s="16"/>
      <c r="D29" s="16"/>
      <c r="E29" s="16"/>
      <c r="F29" s="16"/>
    </row>
    <row r="30" spans="1:6">
      <c r="A30" s="16"/>
      <c r="B30" s="16"/>
      <c r="C30" s="16"/>
      <c r="D30" s="16"/>
      <c r="E30" s="16"/>
      <c r="F30" s="16"/>
    </row>
    <row r="31" spans="1:6">
      <c r="A31" s="16"/>
      <c r="B31" s="16"/>
      <c r="C31" s="16"/>
      <c r="D31" s="16"/>
      <c r="E31" s="16"/>
      <c r="F31" s="16"/>
    </row>
    <row r="32" spans="1:6">
      <c r="A32" s="16"/>
      <c r="B32" s="16"/>
      <c r="C32" s="16"/>
      <c r="D32" s="16"/>
      <c r="E32" s="16"/>
      <c r="F32" s="16"/>
    </row>
    <row r="33" spans="1:6">
      <c r="A33" s="16"/>
      <c r="B33" s="16"/>
      <c r="C33" s="16"/>
      <c r="D33" s="16"/>
      <c r="E33" s="16"/>
      <c r="F33" s="16"/>
    </row>
    <row r="34" spans="1:6">
      <c r="A34" s="16"/>
      <c r="B34" s="16"/>
      <c r="C34" s="16"/>
      <c r="D34" s="16"/>
      <c r="E34" s="16"/>
      <c r="F34" s="16"/>
    </row>
    <row r="35" spans="1:6">
      <c r="A35" s="16"/>
      <c r="B35" s="16"/>
      <c r="C35" s="16"/>
      <c r="D35" s="16"/>
      <c r="E35" s="16"/>
      <c r="F35" s="16"/>
    </row>
    <row r="36" spans="1:6">
      <c r="A36" s="16"/>
      <c r="B36" s="16"/>
      <c r="C36" s="16"/>
      <c r="D36" s="16"/>
      <c r="E36" s="16"/>
      <c r="F36" s="16"/>
    </row>
    <row r="37" spans="1:6">
      <c r="A37" s="16"/>
      <c r="B37" s="16"/>
      <c r="C37" s="16"/>
      <c r="D37" s="16"/>
      <c r="E37" s="16"/>
      <c r="F37" s="16"/>
    </row>
    <row r="38" spans="1:6">
      <c r="A38" s="16"/>
      <c r="B38" s="16"/>
      <c r="C38" s="16"/>
      <c r="D38" s="16"/>
      <c r="E38" s="16"/>
      <c r="F38" s="16"/>
    </row>
    <row r="39" spans="1:6">
      <c r="A39" s="16"/>
      <c r="B39" s="16"/>
      <c r="C39" s="16"/>
      <c r="D39" s="16"/>
      <c r="E39" s="16"/>
      <c r="F39" s="16"/>
    </row>
    <row r="40" spans="1:6">
      <c r="A40" s="16"/>
      <c r="B40" s="16"/>
      <c r="C40" s="16"/>
      <c r="D40" s="16"/>
      <c r="E40" s="16"/>
      <c r="F40" s="16"/>
    </row>
    <row r="41" spans="1:6">
      <c r="A41" s="16"/>
      <c r="B41" s="16"/>
      <c r="C41" s="16"/>
      <c r="D41" s="16"/>
      <c r="E41" s="16"/>
      <c r="F41" s="16"/>
    </row>
    <row r="42" spans="1:6">
      <c r="A42" s="16"/>
      <c r="B42" s="16"/>
      <c r="C42" s="16"/>
      <c r="D42" s="16"/>
      <c r="E42" s="16"/>
      <c r="F42" s="16"/>
    </row>
    <row r="43" spans="1:6">
      <c r="A43" s="16"/>
      <c r="B43" s="16"/>
      <c r="C43" s="16"/>
      <c r="D43" s="16"/>
      <c r="E43" s="16"/>
      <c r="F43" s="16"/>
    </row>
    <row r="44" spans="1:6">
      <c r="A44" s="16"/>
      <c r="B44" s="16"/>
      <c r="C44" s="16"/>
      <c r="D44" s="16"/>
      <c r="E44" s="16"/>
      <c r="F44" s="16"/>
    </row>
    <row r="45" spans="1:6">
      <c r="A45" s="16"/>
      <c r="B45" s="16"/>
      <c r="C45" s="16"/>
      <c r="D45" s="16"/>
      <c r="E45" s="16"/>
      <c r="F45" s="16"/>
    </row>
    <row r="46" spans="1:6">
      <c r="A46" s="16"/>
      <c r="B46" s="16"/>
      <c r="C46" s="16"/>
      <c r="D46" s="16"/>
      <c r="E46" s="16"/>
      <c r="F46" s="16"/>
    </row>
    <row r="47" spans="1:6">
      <c r="A47" s="16"/>
      <c r="B47" s="16"/>
      <c r="C47" s="16"/>
      <c r="D47" s="16"/>
      <c r="E47" s="16"/>
      <c r="F47" s="16"/>
    </row>
    <row r="48" spans="1:6">
      <c r="A48" s="16"/>
      <c r="B48" s="16"/>
      <c r="C48" s="16"/>
      <c r="D48" s="16"/>
      <c r="E48" s="16"/>
      <c r="F48" s="16"/>
    </row>
    <row r="49" spans="1:6">
      <c r="A49" s="16"/>
      <c r="B49" s="16"/>
      <c r="C49" s="16"/>
      <c r="D49" s="16"/>
      <c r="E49" s="16"/>
      <c r="F49" s="16"/>
    </row>
    <row r="50" spans="1:6">
      <c r="A50" s="16"/>
      <c r="B50" s="16"/>
      <c r="C50" s="16"/>
      <c r="D50" s="16"/>
      <c r="E50" s="16"/>
      <c r="F50" s="16"/>
    </row>
    <row r="51" spans="1:6">
      <c r="A51" s="16"/>
      <c r="B51" s="16"/>
      <c r="C51" s="16"/>
      <c r="D51" s="16"/>
      <c r="E51" s="16"/>
      <c r="F51" s="16"/>
    </row>
    <row r="52" spans="1:6">
      <c r="A52" s="16"/>
      <c r="B52" s="16"/>
      <c r="C52" s="16"/>
      <c r="D52" s="16"/>
      <c r="E52" s="16"/>
      <c r="F52" s="16"/>
    </row>
    <row r="53" spans="1:6">
      <c r="A53" s="16"/>
      <c r="B53" s="16"/>
      <c r="C53" s="16"/>
      <c r="D53" s="16"/>
      <c r="E53" s="16"/>
      <c r="F53" s="16"/>
    </row>
    <row r="54" spans="1:6">
      <c r="A54" s="16"/>
      <c r="B54" s="16"/>
      <c r="C54" s="16"/>
      <c r="D54" s="16"/>
      <c r="E54" s="16"/>
      <c r="F54" s="16"/>
    </row>
    <row r="55" spans="1:6">
      <c r="A55" s="16"/>
      <c r="B55" s="16"/>
      <c r="C55" s="16"/>
      <c r="D55" s="16"/>
      <c r="E55" s="16"/>
      <c r="F55" s="16"/>
    </row>
    <row r="56" spans="1:6">
      <c r="A56" s="16"/>
      <c r="B56" s="16"/>
      <c r="C56" s="16"/>
      <c r="D56" s="16"/>
      <c r="E56" s="16"/>
      <c r="F56" s="16"/>
    </row>
    <row r="57" spans="1:6">
      <c r="A57" s="16"/>
      <c r="B57" s="16"/>
      <c r="C57" s="16"/>
      <c r="D57" s="16"/>
      <c r="E57" s="16"/>
      <c r="F57" s="16"/>
    </row>
    <row r="58" spans="1:6">
      <c r="A58" s="16"/>
      <c r="B58" s="16"/>
      <c r="C58" s="16"/>
      <c r="D58" s="16"/>
      <c r="E58" s="16"/>
      <c r="F58" s="16"/>
    </row>
    <row r="59" spans="1:6">
      <c r="A59" s="16"/>
      <c r="B59" s="16"/>
      <c r="C59" s="16"/>
      <c r="D59" s="16"/>
      <c r="E59" s="16"/>
      <c r="F59" s="16"/>
    </row>
    <row r="60" spans="1:6">
      <c r="A60" s="16"/>
      <c r="B60" s="16"/>
      <c r="C60" s="16"/>
      <c r="D60" s="16"/>
      <c r="E60" s="16"/>
      <c r="F60" s="16"/>
    </row>
    <row r="61" spans="1:6">
      <c r="A61" s="16"/>
      <c r="B61" s="16"/>
      <c r="C61" s="16"/>
      <c r="D61" s="16"/>
      <c r="E61" s="16"/>
      <c r="F61" s="16"/>
    </row>
    <row r="62" spans="1:6">
      <c r="A62" s="16"/>
      <c r="B62" s="16"/>
      <c r="C62" s="16"/>
      <c r="D62" s="16"/>
      <c r="E62" s="16"/>
      <c r="F62" s="16"/>
    </row>
    <row r="63" spans="1:6">
      <c r="A63" s="16"/>
      <c r="B63" s="16"/>
      <c r="C63" s="16"/>
      <c r="D63" s="16"/>
      <c r="E63" s="16"/>
      <c r="F63" s="16"/>
    </row>
    <row r="64" spans="1:6">
      <c r="A64" s="16"/>
      <c r="B64" s="16"/>
      <c r="C64" s="16"/>
      <c r="D64" s="16"/>
      <c r="E64" s="16"/>
      <c r="F64" s="16"/>
    </row>
    <row r="65" spans="1:6">
      <c r="A65" s="16"/>
      <c r="B65" s="16"/>
      <c r="C65" s="16"/>
      <c r="D65" s="16"/>
      <c r="E65" s="16"/>
      <c r="F65" s="16"/>
    </row>
    <row r="66" spans="1:6">
      <c r="A66" s="16"/>
      <c r="B66" s="16"/>
      <c r="C66" s="16"/>
      <c r="D66" s="16"/>
      <c r="E66" s="16"/>
      <c r="F66" s="16"/>
    </row>
    <row r="67" spans="1:6">
      <c r="A67" s="16"/>
      <c r="B67" s="16"/>
      <c r="C67" s="16"/>
      <c r="D67" s="16"/>
      <c r="E67" s="16"/>
      <c r="F67" s="16"/>
    </row>
    <row r="68" spans="1:6">
      <c r="A68" s="16"/>
      <c r="B68" s="16"/>
      <c r="C68" s="16"/>
      <c r="D68" s="16"/>
      <c r="E68" s="16"/>
      <c r="F68" s="16"/>
    </row>
    <row r="69" spans="1:6">
      <c r="A69" s="16"/>
      <c r="B69" s="16"/>
      <c r="C69" s="16"/>
      <c r="D69" s="16"/>
      <c r="E69" s="16"/>
      <c r="F69" s="16"/>
    </row>
    <row r="70" spans="1:6">
      <c r="A70" s="16"/>
      <c r="B70" s="16"/>
      <c r="C70" s="16"/>
      <c r="D70" s="16"/>
      <c r="E70" s="16"/>
      <c r="F70" s="16"/>
    </row>
    <row r="71" spans="1:6">
      <c r="A71" s="16"/>
      <c r="B71" s="16"/>
      <c r="C71" s="16"/>
      <c r="D71" s="16"/>
      <c r="E71" s="16"/>
      <c r="F71" s="16"/>
    </row>
    <row r="72" spans="1:6">
      <c r="A72" s="16"/>
      <c r="B72" s="16"/>
      <c r="C72" s="16"/>
      <c r="D72" s="16"/>
      <c r="E72" s="16"/>
      <c r="F72" s="16"/>
    </row>
    <row r="73" spans="1:6">
      <c r="A73" s="16"/>
      <c r="B73" s="16"/>
      <c r="C73" s="16"/>
      <c r="D73" s="16"/>
      <c r="E73" s="16"/>
      <c r="F73" s="16"/>
    </row>
    <row r="74" spans="1:6">
      <c r="A74" s="16"/>
      <c r="B74" s="16"/>
      <c r="C74" s="16"/>
      <c r="D74" s="16"/>
      <c r="E74" s="16"/>
      <c r="F74" s="16"/>
    </row>
    <row r="75" spans="1:6">
      <c r="A75" s="16"/>
      <c r="B75" s="16"/>
      <c r="C75" s="16"/>
      <c r="D75" s="16"/>
      <c r="E75" s="16"/>
      <c r="F75" s="16"/>
    </row>
    <row r="76" spans="1:6">
      <c r="A76" s="16"/>
      <c r="B76" s="16"/>
      <c r="C76" s="16"/>
      <c r="D76" s="16"/>
      <c r="E76" s="16"/>
      <c r="F76" s="16"/>
    </row>
    <row r="77" spans="1:6">
      <c r="A77" s="16"/>
      <c r="B77" s="16"/>
      <c r="C77" s="16"/>
      <c r="D77" s="16"/>
      <c r="E77" s="16"/>
      <c r="F77" s="16"/>
    </row>
    <row r="78" spans="1:6">
      <c r="A78" s="16"/>
      <c r="B78" s="16"/>
      <c r="C78" s="16"/>
      <c r="D78" s="16"/>
      <c r="E78" s="16"/>
      <c r="F78" s="16"/>
    </row>
    <row r="79" spans="1:6">
      <c r="A79" s="16"/>
      <c r="B79" s="16"/>
      <c r="C79" s="16"/>
      <c r="D79" s="16"/>
      <c r="E79" s="16"/>
      <c r="F79" s="16"/>
    </row>
    <row r="80" spans="1:6">
      <c r="A80" s="16"/>
      <c r="B80" s="16"/>
      <c r="C80" s="16"/>
      <c r="D80" s="16"/>
      <c r="E80" s="16"/>
      <c r="F80" s="16"/>
    </row>
    <row r="81" spans="1:6">
      <c r="A81" s="16"/>
      <c r="B81" s="16"/>
      <c r="C81" s="16"/>
      <c r="D81" s="16"/>
      <c r="E81" s="16"/>
      <c r="F81" s="16"/>
    </row>
    <row r="82" spans="1:6">
      <c r="A82" s="16"/>
      <c r="B82" s="16"/>
      <c r="C82" s="16"/>
      <c r="D82" s="16"/>
      <c r="E82" s="16"/>
      <c r="F82" s="16"/>
    </row>
    <row r="83" spans="1:6">
      <c r="A83" s="16"/>
      <c r="B83" s="16"/>
      <c r="C83" s="16"/>
      <c r="D83" s="16"/>
      <c r="E83" s="16"/>
      <c r="F83" s="16"/>
    </row>
    <row r="84" spans="1:6">
      <c r="A84" s="16"/>
      <c r="B84" s="16"/>
      <c r="C84" s="16"/>
      <c r="D84" s="16"/>
      <c r="E84" s="16"/>
      <c r="F84" s="16"/>
    </row>
    <row r="85" spans="1:6">
      <c r="A85" s="16"/>
      <c r="B85" s="16"/>
      <c r="C85" s="16"/>
      <c r="D85" s="16"/>
      <c r="E85" s="16"/>
      <c r="F85" s="16"/>
    </row>
    <row r="86" spans="1:6">
      <c r="A86" s="16"/>
      <c r="B86" s="16"/>
      <c r="C86" s="16"/>
      <c r="D86" s="16"/>
      <c r="E86" s="16"/>
      <c r="F86" s="16"/>
    </row>
    <row r="87" spans="1:6">
      <c r="A87" s="16"/>
      <c r="B87" s="16"/>
      <c r="C87" s="16"/>
      <c r="D87" s="16"/>
      <c r="E87" s="16"/>
      <c r="F87" s="16"/>
    </row>
    <row r="88" spans="1:6">
      <c r="A88" s="16"/>
      <c r="B88" s="16"/>
      <c r="C88" s="16"/>
      <c r="D88" s="16"/>
      <c r="E88" s="16"/>
      <c r="F88" s="16"/>
    </row>
    <row r="89" spans="1:6">
      <c r="A89" s="16"/>
      <c r="B89" s="16"/>
      <c r="C89" s="16"/>
      <c r="D89" s="16"/>
      <c r="E89" s="16"/>
      <c r="F89" s="16"/>
    </row>
    <row r="90" spans="1:6">
      <c r="A90" s="16"/>
      <c r="B90" s="16"/>
      <c r="C90" s="16"/>
      <c r="D90" s="16"/>
      <c r="E90" s="16"/>
      <c r="F90" s="16"/>
    </row>
    <row r="91" spans="1:6">
      <c r="A91" s="16"/>
      <c r="B91" s="16"/>
      <c r="C91" s="16"/>
      <c r="D91" s="16"/>
      <c r="E91" s="16"/>
      <c r="F91" s="16"/>
    </row>
    <row r="92" spans="1:6">
      <c r="A92" s="16"/>
      <c r="B92" s="16"/>
      <c r="C92" s="16"/>
      <c r="D92" s="16"/>
      <c r="E92" s="16"/>
      <c r="F92" s="16"/>
    </row>
    <row r="93" spans="1:6">
      <c r="A93" s="16"/>
      <c r="B93" s="16"/>
      <c r="C93" s="16"/>
      <c r="D93" s="16"/>
      <c r="E93" s="16"/>
      <c r="F93" s="16"/>
    </row>
    <row r="94" spans="1:6">
      <c r="A94" s="16"/>
      <c r="B94" s="16"/>
      <c r="C94" s="16"/>
      <c r="D94" s="16"/>
      <c r="E94" s="16"/>
      <c r="F94" s="16"/>
    </row>
    <row r="95" spans="1:6">
      <c r="A95" s="16"/>
      <c r="B95" s="16"/>
      <c r="C95" s="16"/>
      <c r="D95" s="16"/>
      <c r="E95" s="16"/>
      <c r="F95" s="16"/>
    </row>
    <row r="96" spans="1:6">
      <c r="A96" s="16"/>
      <c r="B96" s="16"/>
      <c r="C96" s="16"/>
      <c r="D96" s="16"/>
      <c r="E96" s="16"/>
      <c r="F96" s="16"/>
    </row>
    <row r="97" spans="1:6">
      <c r="A97" s="16"/>
      <c r="B97" s="16"/>
      <c r="C97" s="16"/>
      <c r="D97" s="16"/>
      <c r="E97" s="16"/>
      <c r="F97" s="16"/>
    </row>
    <row r="98" spans="1:6">
      <c r="A98" s="16"/>
      <c r="B98" s="16"/>
      <c r="C98" s="16"/>
      <c r="D98" s="16"/>
      <c r="E98" s="16"/>
      <c r="F98" s="16"/>
    </row>
    <row r="99" spans="1:6">
      <c r="A99" s="16"/>
      <c r="B99" s="16"/>
      <c r="C99" s="16"/>
      <c r="D99" s="16"/>
      <c r="E99" s="16"/>
      <c r="F99" s="16"/>
    </row>
    <row r="100" spans="1:6">
      <c r="A100" s="16"/>
      <c r="B100" s="16"/>
      <c r="C100" s="16"/>
      <c r="D100" s="16"/>
      <c r="E100" s="16"/>
      <c r="F100" s="16"/>
    </row>
    <row r="101" spans="1:6">
      <c r="A101" s="16"/>
      <c r="B101" s="16"/>
      <c r="C101" s="16"/>
      <c r="D101" s="16"/>
      <c r="E101" s="16"/>
      <c r="F101" s="16"/>
    </row>
    <row r="102" spans="1:6">
      <c r="A102" s="16"/>
      <c r="B102" s="16"/>
      <c r="C102" s="16"/>
      <c r="D102" s="16"/>
      <c r="E102" s="16"/>
      <c r="F102" s="16"/>
    </row>
    <row r="103" spans="1:6">
      <c r="A103" s="16"/>
      <c r="B103" s="16"/>
      <c r="C103" s="16"/>
      <c r="D103" s="16"/>
      <c r="E103" s="16"/>
      <c r="F103" s="16"/>
    </row>
    <row r="104" spans="1:6">
      <c r="A104" s="16"/>
      <c r="B104" s="16"/>
      <c r="C104" s="16"/>
      <c r="D104" s="16"/>
      <c r="E104" s="16"/>
      <c r="F104" s="16"/>
    </row>
    <row r="105" spans="1:6">
      <c r="A105" s="16"/>
      <c r="B105" s="16"/>
      <c r="C105" s="16"/>
      <c r="D105" s="16"/>
      <c r="E105" s="16"/>
      <c r="F105" s="16"/>
    </row>
    <row r="106" spans="1:6">
      <c r="A106" s="16"/>
      <c r="B106" s="16"/>
      <c r="C106" s="16"/>
      <c r="D106" s="16"/>
      <c r="E106" s="16"/>
      <c r="F106" s="16"/>
    </row>
    <row r="107" spans="1:6">
      <c r="A107" s="16"/>
      <c r="B107" s="16"/>
      <c r="C107" s="16"/>
      <c r="D107" s="16"/>
      <c r="E107" s="16"/>
      <c r="F107" s="16"/>
    </row>
    <row r="108" spans="1:6">
      <c r="A108" s="16"/>
      <c r="B108" s="16"/>
      <c r="C108" s="16"/>
      <c r="D108" s="16"/>
      <c r="E108" s="16"/>
      <c r="F108" s="16"/>
    </row>
    <row r="109" spans="1:6">
      <c r="A109" s="16"/>
      <c r="B109" s="16"/>
      <c r="C109" s="16"/>
      <c r="D109" s="16"/>
      <c r="E109" s="16"/>
      <c r="F109" s="16"/>
    </row>
    <row r="110" spans="1:6">
      <c r="A110" s="16"/>
      <c r="B110" s="16"/>
      <c r="C110" s="16"/>
      <c r="D110" s="16"/>
      <c r="E110" s="16"/>
      <c r="F110" s="16"/>
    </row>
    <row r="111" spans="1:6">
      <c r="A111" s="16"/>
      <c r="B111" s="16"/>
      <c r="C111" s="16"/>
      <c r="D111" s="16"/>
      <c r="E111" s="16"/>
      <c r="F111" s="16"/>
    </row>
    <row r="112" spans="1:6">
      <c r="A112" s="16"/>
      <c r="B112" s="16"/>
      <c r="C112" s="16"/>
      <c r="D112" s="16"/>
      <c r="E112" s="16"/>
      <c r="F112" s="16"/>
    </row>
    <row r="113" spans="1:6">
      <c r="A113" s="16"/>
      <c r="B113" s="16"/>
      <c r="C113" s="16"/>
      <c r="D113" s="16"/>
      <c r="E113" s="16"/>
      <c r="F113" s="16"/>
    </row>
    <row r="114" spans="1:6">
      <c r="A114" s="16"/>
      <c r="B114" s="16"/>
      <c r="C114" s="16"/>
      <c r="D114" s="16"/>
      <c r="E114" s="16"/>
      <c r="F114" s="16"/>
    </row>
    <row r="115" spans="1:6">
      <c r="A115" s="16"/>
      <c r="B115" s="16"/>
      <c r="C115" s="16"/>
      <c r="D115" s="16"/>
      <c r="E115" s="16"/>
      <c r="F115" s="16"/>
    </row>
    <row r="116" spans="1:6">
      <c r="A116" s="16"/>
      <c r="B116" s="16"/>
      <c r="C116" s="16"/>
      <c r="D116" s="16"/>
      <c r="E116" s="16"/>
      <c r="F116" s="16"/>
    </row>
    <row r="117" spans="1:6">
      <c r="A117" s="16"/>
      <c r="B117" s="16"/>
      <c r="C117" s="16"/>
      <c r="D117" s="16"/>
      <c r="E117" s="16"/>
      <c r="F117" s="16"/>
    </row>
    <row r="118" spans="1:6">
      <c r="A118" s="16"/>
      <c r="B118" s="16"/>
      <c r="C118" s="16"/>
      <c r="D118" s="16"/>
      <c r="E118" s="16"/>
      <c r="F118" s="16"/>
    </row>
    <row r="119" spans="1:6">
      <c r="A119" s="16"/>
      <c r="B119" s="16"/>
      <c r="C119" s="16"/>
      <c r="D119" s="16"/>
      <c r="E119" s="16"/>
      <c r="F119" s="16"/>
    </row>
    <row r="120" spans="1:6">
      <c r="A120" s="16"/>
      <c r="B120" s="16"/>
      <c r="C120" s="16"/>
      <c r="D120" s="16"/>
      <c r="E120" s="16"/>
      <c r="F120" s="16"/>
    </row>
    <row r="121" spans="1:6">
      <c r="A121" s="16"/>
      <c r="B121" s="16"/>
      <c r="C121" s="16"/>
      <c r="D121" s="16"/>
      <c r="E121" s="16"/>
      <c r="F121" s="16"/>
    </row>
    <row r="122" spans="1:6">
      <c r="A122" s="16"/>
      <c r="B122" s="16"/>
      <c r="C122" s="16"/>
      <c r="D122" s="16"/>
      <c r="E122" s="16"/>
      <c r="F122" s="16"/>
    </row>
    <row r="123" spans="1:6">
      <c r="A123" s="16"/>
      <c r="B123" s="16"/>
      <c r="C123" s="16"/>
      <c r="D123" s="16"/>
      <c r="E123" s="16"/>
      <c r="F123" s="16"/>
    </row>
    <row r="124" spans="1:6">
      <c r="A124" s="16"/>
      <c r="B124" s="16"/>
      <c r="C124" s="16"/>
      <c r="D124" s="16"/>
      <c r="E124" s="16"/>
      <c r="F124" s="16"/>
    </row>
    <row r="125" spans="1:6">
      <c r="A125" s="16"/>
      <c r="B125" s="16"/>
      <c r="C125" s="16"/>
      <c r="D125" s="16"/>
      <c r="E125" s="16"/>
      <c r="F125" s="16"/>
    </row>
    <row r="126" spans="1:6">
      <c r="A126" s="16"/>
      <c r="B126" s="16"/>
      <c r="C126" s="16"/>
      <c r="D126" s="16"/>
      <c r="E126" s="16"/>
      <c r="F126" s="16"/>
    </row>
    <row r="127" spans="1:6">
      <c r="A127" s="16"/>
      <c r="B127" s="16"/>
      <c r="C127" s="16"/>
      <c r="D127" s="16"/>
      <c r="E127" s="16"/>
      <c r="F127" s="16"/>
    </row>
    <row r="128" spans="1:6">
      <c r="A128" s="16"/>
      <c r="B128" s="16"/>
      <c r="C128" s="16"/>
      <c r="D128" s="16"/>
      <c r="E128" s="16"/>
      <c r="F128" s="16"/>
    </row>
    <row r="129" spans="1:6">
      <c r="A129" s="16"/>
      <c r="B129" s="16"/>
      <c r="C129" s="16"/>
      <c r="D129" s="16"/>
      <c r="E129" s="16"/>
      <c r="F129" s="16"/>
    </row>
    <row r="130" spans="1:6">
      <c r="A130" s="16"/>
      <c r="B130" s="16"/>
      <c r="C130" s="16"/>
      <c r="D130" s="16"/>
      <c r="E130" s="16"/>
      <c r="F130" s="16"/>
    </row>
    <row r="131" spans="1:6">
      <c r="A131" s="16"/>
      <c r="B131" s="16"/>
      <c r="C131" s="16"/>
      <c r="D131" s="16"/>
      <c r="E131" s="16"/>
      <c r="F131" s="16"/>
    </row>
    <row r="132" spans="1:6">
      <c r="A132" s="16"/>
      <c r="B132" s="16"/>
      <c r="C132" s="16"/>
      <c r="D132" s="16"/>
      <c r="E132" s="16"/>
      <c r="F132" s="16"/>
    </row>
    <row r="133" spans="1:6">
      <c r="A133" s="16"/>
      <c r="B133" s="16"/>
      <c r="C133" s="16"/>
      <c r="D133" s="16"/>
      <c r="E133" s="16"/>
      <c r="F133" s="16"/>
    </row>
    <row r="134" spans="1:6">
      <c r="A134" s="16"/>
      <c r="B134" s="16"/>
      <c r="C134" s="16"/>
      <c r="D134" s="16"/>
      <c r="E134" s="16"/>
      <c r="F134" s="16"/>
    </row>
    <row r="135" spans="1:6">
      <c r="A135" s="16"/>
      <c r="B135" s="16"/>
      <c r="C135" s="16"/>
      <c r="D135" s="16"/>
      <c r="E135" s="16"/>
      <c r="F135" s="16"/>
    </row>
    <row r="136" spans="1:6">
      <c r="A136" s="16"/>
      <c r="B136" s="16"/>
      <c r="C136" s="16"/>
      <c r="D136" s="16"/>
      <c r="E136" s="16"/>
      <c r="F136" s="16"/>
    </row>
    <row r="137" spans="1:6">
      <c r="A137" s="16"/>
      <c r="B137" s="16"/>
      <c r="C137" s="16"/>
      <c r="D137" s="16"/>
      <c r="E137" s="16"/>
      <c r="F137" s="16"/>
    </row>
    <row r="138" spans="1:6">
      <c r="A138" s="16"/>
      <c r="B138" s="16"/>
      <c r="C138" s="16"/>
      <c r="D138" s="16"/>
      <c r="E138" s="16"/>
      <c r="F138" s="16"/>
    </row>
    <row r="139" spans="1:6">
      <c r="A139" s="16"/>
      <c r="B139" s="16"/>
      <c r="C139" s="16"/>
      <c r="D139" s="16"/>
      <c r="E139" s="16"/>
      <c r="F139" s="16"/>
    </row>
    <row r="140" spans="1:6">
      <c r="A140" s="16"/>
      <c r="B140" s="16"/>
      <c r="C140" s="16"/>
      <c r="D140" s="16"/>
      <c r="E140" s="16"/>
      <c r="F140" s="16"/>
    </row>
    <row r="141" spans="1:6">
      <c r="A141" s="16"/>
      <c r="B141" s="16"/>
      <c r="C141" s="16"/>
      <c r="D141" s="16"/>
      <c r="E141" s="16"/>
      <c r="F141" s="16"/>
    </row>
    <row r="142" spans="1:6">
      <c r="A142" s="16"/>
      <c r="B142" s="16"/>
      <c r="C142" s="16"/>
      <c r="D142" s="16"/>
      <c r="E142" s="16"/>
      <c r="F142" s="16"/>
    </row>
    <row r="143" spans="1:6">
      <c r="A143" s="16"/>
      <c r="B143" s="16"/>
      <c r="C143" s="16"/>
      <c r="D143" s="16"/>
      <c r="E143" s="16"/>
      <c r="F143" s="16"/>
    </row>
    <row r="144" spans="1:6">
      <c r="A144" s="16"/>
      <c r="B144" s="16"/>
      <c r="C144" s="16"/>
      <c r="D144" s="16"/>
      <c r="E144" s="16"/>
      <c r="F144" s="16"/>
    </row>
    <row r="145" spans="1:6">
      <c r="A145" s="16"/>
      <c r="B145" s="16"/>
      <c r="C145" s="16"/>
      <c r="D145" s="16"/>
      <c r="E145" s="16"/>
      <c r="F145" s="16"/>
    </row>
    <row r="146" spans="1:6">
      <c r="A146" s="16"/>
      <c r="B146" s="16"/>
      <c r="C146" s="16"/>
      <c r="D146" s="16"/>
      <c r="E146" s="16"/>
      <c r="F146" s="16"/>
    </row>
    <row r="147" spans="1:6">
      <c r="A147" s="16"/>
      <c r="B147" s="16"/>
      <c r="C147" s="16"/>
      <c r="D147" s="16"/>
      <c r="E147" s="16"/>
      <c r="F147" s="16"/>
    </row>
    <row r="148" spans="1:6">
      <c r="A148" s="16"/>
      <c r="B148" s="16"/>
      <c r="C148" s="16"/>
      <c r="D148" s="16"/>
      <c r="E148" s="16"/>
      <c r="F148" s="16"/>
    </row>
    <row r="149" spans="1:6">
      <c r="A149" s="16"/>
      <c r="B149" s="16"/>
      <c r="C149" s="16"/>
      <c r="D149" s="16"/>
      <c r="E149" s="16"/>
      <c r="F149" s="16"/>
    </row>
    <row r="150" spans="1:6">
      <c r="A150" s="16"/>
      <c r="B150" s="16"/>
      <c r="C150" s="16"/>
      <c r="D150" s="16"/>
      <c r="E150" s="16"/>
      <c r="F150" s="16"/>
    </row>
    <row r="151" spans="1:6">
      <c r="A151" s="16"/>
      <c r="B151" s="16"/>
      <c r="C151" s="16"/>
      <c r="D151" s="16"/>
      <c r="E151" s="16"/>
      <c r="F151" s="16"/>
    </row>
    <row r="152" spans="1:6">
      <c r="A152" s="16"/>
      <c r="B152" s="16"/>
      <c r="C152" s="16"/>
      <c r="D152" s="16"/>
      <c r="E152" s="16"/>
      <c r="F152" s="16"/>
    </row>
    <row r="153" spans="1:6">
      <c r="A153" s="16"/>
      <c r="B153" s="16"/>
      <c r="C153" s="16"/>
      <c r="D153" s="16"/>
      <c r="E153" s="16"/>
      <c r="F153" s="16"/>
    </row>
    <row r="154" spans="1:6">
      <c r="A154" s="16"/>
      <c r="B154" s="16"/>
      <c r="C154" s="16"/>
      <c r="D154" s="16"/>
      <c r="E154" s="16"/>
      <c r="F154" s="16"/>
    </row>
    <row r="155" spans="1:6">
      <c r="A155" s="16"/>
      <c r="B155" s="16"/>
      <c r="C155" s="16"/>
      <c r="D155" s="16"/>
      <c r="E155" s="16"/>
      <c r="F155" s="16"/>
    </row>
    <row r="156" spans="1:6">
      <c r="A156" s="16"/>
      <c r="B156" s="16"/>
      <c r="C156" s="16"/>
      <c r="D156" s="16"/>
      <c r="E156" s="16"/>
      <c r="F156" s="16"/>
    </row>
    <row r="157" spans="1:6">
      <c r="A157" s="16"/>
      <c r="B157" s="16"/>
      <c r="C157" s="16"/>
      <c r="D157" s="16"/>
      <c r="E157" s="16"/>
      <c r="F157" s="16"/>
    </row>
    <row r="158" spans="1:6">
      <c r="A158" s="16"/>
      <c r="B158" s="16"/>
      <c r="C158" s="16"/>
      <c r="D158" s="16"/>
      <c r="E158" s="16"/>
      <c r="F158" s="16"/>
    </row>
    <row r="159" spans="1:6">
      <c r="A159" s="16"/>
      <c r="B159" s="16"/>
      <c r="C159" s="16"/>
      <c r="D159" s="16"/>
      <c r="E159" s="16"/>
      <c r="F159" s="16"/>
    </row>
    <row r="160" spans="1:6">
      <c r="A160" s="16"/>
      <c r="B160" s="16"/>
      <c r="C160" s="16"/>
      <c r="D160" s="16"/>
      <c r="E160" s="16"/>
      <c r="F160" s="16"/>
    </row>
    <row r="161" spans="1:6">
      <c r="A161" s="16"/>
      <c r="B161" s="16"/>
      <c r="C161" s="16"/>
      <c r="D161" s="16"/>
      <c r="E161" s="16"/>
      <c r="F161" s="16"/>
    </row>
    <row r="162" spans="1:6">
      <c r="A162" s="16"/>
      <c r="B162" s="16"/>
      <c r="C162" s="16"/>
      <c r="D162" s="16"/>
      <c r="E162" s="16"/>
      <c r="F162" s="16"/>
    </row>
    <row r="163" spans="1:6">
      <c r="A163" s="16"/>
      <c r="B163" s="16"/>
      <c r="C163" s="16"/>
      <c r="D163" s="16"/>
      <c r="E163" s="16"/>
      <c r="F163" s="16"/>
    </row>
    <row r="164" spans="1:6">
      <c r="A164" s="16"/>
      <c r="B164" s="16"/>
      <c r="C164" s="16"/>
      <c r="D164" s="16"/>
      <c r="E164" s="16"/>
      <c r="F164" s="16"/>
    </row>
    <row r="165" spans="1:6">
      <c r="A165" s="16"/>
      <c r="B165" s="16"/>
      <c r="C165" s="16"/>
      <c r="D165" s="16"/>
      <c r="E165" s="16"/>
      <c r="F165" s="16"/>
    </row>
    <row r="166" spans="1:6">
      <c r="A166" s="16"/>
      <c r="B166" s="16"/>
      <c r="C166" s="16"/>
      <c r="D166" s="16"/>
      <c r="E166" s="16"/>
      <c r="F166" s="16"/>
    </row>
    <row r="167" spans="1:6">
      <c r="A167" s="16"/>
      <c r="B167" s="16"/>
      <c r="C167" s="16"/>
      <c r="D167" s="16"/>
      <c r="E167" s="16"/>
      <c r="F167" s="16"/>
    </row>
    <row r="168" spans="1:6">
      <c r="A168" s="16"/>
      <c r="B168" s="16"/>
      <c r="C168" s="16"/>
      <c r="D168" s="16"/>
      <c r="E168" s="16"/>
      <c r="F168" s="16"/>
    </row>
    <row r="169" spans="1:6">
      <c r="A169" s="16"/>
      <c r="B169" s="16"/>
      <c r="C169" s="16"/>
      <c r="D169" s="16"/>
      <c r="E169" s="16"/>
      <c r="F169" s="16"/>
    </row>
    <row r="170" spans="1:6">
      <c r="A170" s="16"/>
      <c r="B170" s="16"/>
      <c r="C170" s="16"/>
      <c r="D170" s="16"/>
      <c r="E170" s="16"/>
      <c r="F170" s="16"/>
    </row>
    <row r="171" spans="1:6">
      <c r="A171" s="16"/>
      <c r="B171" s="16"/>
      <c r="C171" s="16"/>
      <c r="D171" s="16"/>
      <c r="E171" s="16"/>
      <c r="F171" s="16"/>
    </row>
    <row r="172" spans="1:6">
      <c r="A172" s="16"/>
      <c r="B172" s="16"/>
      <c r="C172" s="16"/>
      <c r="D172" s="16"/>
      <c r="E172" s="16"/>
      <c r="F172" s="16"/>
    </row>
    <row r="173" spans="1:6">
      <c r="A173" s="16"/>
      <c r="B173" s="16"/>
      <c r="C173" s="16"/>
      <c r="D173" s="16"/>
      <c r="E173" s="16"/>
      <c r="F173" s="16"/>
    </row>
    <row r="174" spans="1:6">
      <c r="A174" s="16"/>
      <c r="B174" s="16"/>
      <c r="C174" s="16"/>
      <c r="D174" s="16"/>
      <c r="E174" s="16"/>
      <c r="F174" s="16"/>
    </row>
    <row r="175" spans="1:6">
      <c r="A175" s="16"/>
      <c r="B175" s="16"/>
      <c r="C175" s="16"/>
      <c r="D175" s="16"/>
      <c r="E175" s="16"/>
      <c r="F175" s="16"/>
    </row>
    <row r="176" spans="1:6">
      <c r="A176" s="16"/>
      <c r="B176" s="16"/>
      <c r="C176" s="16"/>
      <c r="D176" s="16"/>
      <c r="E176" s="16"/>
      <c r="F176" s="16"/>
    </row>
    <row r="177" spans="1:6">
      <c r="A177" s="16"/>
      <c r="B177" s="16"/>
      <c r="C177" s="16"/>
      <c r="D177" s="16"/>
      <c r="E177" s="16"/>
      <c r="F177" s="16"/>
    </row>
    <row r="178" spans="1:6">
      <c r="A178" s="16"/>
      <c r="B178" s="16"/>
      <c r="C178" s="16"/>
      <c r="D178" s="16"/>
      <c r="E178" s="16"/>
      <c r="F178" s="16"/>
    </row>
    <row r="179" spans="1:6">
      <c r="A179" s="16"/>
      <c r="B179" s="16"/>
      <c r="C179" s="16"/>
      <c r="D179" s="16"/>
      <c r="E179" s="16"/>
      <c r="F179" s="16"/>
    </row>
    <row r="180" spans="1:6">
      <c r="A180" s="16"/>
      <c r="B180" s="16"/>
      <c r="C180" s="16"/>
      <c r="D180" s="16"/>
      <c r="E180" s="16"/>
      <c r="F180" s="16"/>
    </row>
    <row r="181" spans="1:6">
      <c r="A181" s="16"/>
      <c r="B181" s="16"/>
      <c r="C181" s="16"/>
      <c r="D181" s="16"/>
      <c r="E181" s="16"/>
      <c r="F181" s="16"/>
    </row>
    <row r="182" spans="1:6">
      <c r="A182" s="16"/>
      <c r="B182" s="16"/>
      <c r="C182" s="16"/>
      <c r="D182" s="16"/>
      <c r="E182" s="16"/>
      <c r="F182" s="16"/>
    </row>
    <row r="183" spans="1:6">
      <c r="A183" s="16"/>
      <c r="B183" s="16"/>
      <c r="C183" s="16"/>
      <c r="D183" s="16"/>
      <c r="E183" s="16"/>
      <c r="F183" s="16"/>
    </row>
    <row r="184" spans="1:6">
      <c r="A184" s="16"/>
      <c r="B184" s="16"/>
      <c r="C184" s="16"/>
      <c r="D184" s="16"/>
      <c r="E184" s="16"/>
      <c r="F184" s="16"/>
    </row>
    <row r="185" spans="1:6">
      <c r="A185" s="16"/>
      <c r="B185" s="16"/>
      <c r="C185" s="16"/>
      <c r="D185" s="16"/>
      <c r="E185" s="16"/>
      <c r="F185" s="16"/>
    </row>
    <row r="186" spans="1:6">
      <c r="A186" s="16"/>
      <c r="B186" s="16"/>
      <c r="C186" s="16"/>
      <c r="D186" s="16"/>
      <c r="E186" s="16"/>
      <c r="F186" s="16"/>
    </row>
    <row r="187" spans="1:6">
      <c r="A187" s="16"/>
      <c r="B187" s="16"/>
      <c r="C187" s="16"/>
      <c r="D187" s="16"/>
      <c r="E187" s="16"/>
      <c r="F187" s="16"/>
    </row>
    <row r="188" spans="1:6">
      <c r="A188" s="16"/>
      <c r="B188" s="16"/>
      <c r="C188" s="16"/>
      <c r="D188" s="16"/>
      <c r="E188" s="16"/>
      <c r="F188" s="16"/>
    </row>
    <row r="189" spans="1:6">
      <c r="A189" s="16"/>
      <c r="B189" s="16"/>
      <c r="C189" s="16"/>
      <c r="D189" s="16"/>
      <c r="E189" s="16"/>
      <c r="F189" s="16"/>
    </row>
    <row r="190" spans="1:6">
      <c r="A190" s="16"/>
      <c r="B190" s="16"/>
      <c r="C190" s="16"/>
      <c r="D190" s="16"/>
      <c r="E190" s="16"/>
      <c r="F190" s="16"/>
    </row>
    <row r="191" spans="1:6">
      <c r="A191" s="16"/>
      <c r="B191" s="16"/>
      <c r="C191" s="16"/>
      <c r="D191" s="16"/>
      <c r="E191" s="16"/>
      <c r="F191" s="16"/>
    </row>
    <row r="192" spans="1:6">
      <c r="A192" s="16"/>
      <c r="B192" s="16"/>
      <c r="C192" s="16"/>
      <c r="D192" s="16"/>
      <c r="E192" s="16"/>
      <c r="F192" s="16"/>
    </row>
    <row r="193" spans="1:6">
      <c r="A193" s="16"/>
      <c r="B193" s="16"/>
      <c r="C193" s="16"/>
      <c r="D193" s="16"/>
      <c r="E193" s="16"/>
      <c r="F193" s="16"/>
    </row>
    <row r="194" spans="1:6">
      <c r="A194" s="16"/>
      <c r="B194" s="16"/>
      <c r="C194" s="16"/>
      <c r="D194" s="16"/>
      <c r="E194" s="16"/>
      <c r="F194" s="16"/>
    </row>
    <row r="195" spans="1:6">
      <c r="A195" s="16"/>
      <c r="B195" s="16"/>
      <c r="C195" s="16"/>
      <c r="D195" s="16"/>
      <c r="E195" s="16"/>
      <c r="F195" s="16"/>
    </row>
    <row r="196" spans="1:6">
      <c r="A196" s="16"/>
      <c r="B196" s="16"/>
      <c r="C196" s="16"/>
      <c r="D196" s="16"/>
      <c r="E196" s="16"/>
      <c r="F196" s="16"/>
    </row>
    <row r="197" spans="1:6">
      <c r="A197" s="16"/>
      <c r="B197" s="16"/>
      <c r="C197" s="16"/>
      <c r="D197" s="16"/>
      <c r="E197" s="16"/>
      <c r="F197" s="16"/>
    </row>
    <row r="198" spans="1:6">
      <c r="A198" s="16"/>
      <c r="B198" s="16"/>
      <c r="C198" s="16"/>
      <c r="D198" s="16"/>
      <c r="E198" s="16"/>
      <c r="F198" s="16"/>
    </row>
    <row r="199" spans="1:6">
      <c r="A199" s="16"/>
      <c r="B199" s="16"/>
      <c r="C199" s="16"/>
      <c r="D199" s="16"/>
      <c r="E199" s="16"/>
      <c r="F199" s="16"/>
    </row>
    <row r="200" spans="1:6">
      <c r="A200" s="16"/>
      <c r="B200" s="16"/>
      <c r="C200" s="16"/>
      <c r="D200" s="16"/>
      <c r="E200" s="16"/>
      <c r="F200" s="16"/>
    </row>
  </sheetData>
  <sheetProtection password="8CD6" sheet="1"/>
  <mergeCells count="1">
    <mergeCell ref="A3:G3"/>
  </mergeCells>
  <conditionalFormatting sqref="F6:F200">
    <cfRule type="cellIs" dxfId="13" priority="2" operator="equal">
      <formula>"Activo"</formula>
    </cfRule>
    <cfRule type="cellIs" dxfId="12" priority="3" operator="equal">
      <formula>"Inactivo"</formula>
    </cfRule>
  </conditionalFormatting>
  <dataValidations count="2">
    <dataValidation type="list" allowBlank="1" errorTitle="Equipo inválido" error="Seleccione un equipo válido de la lista" promptTitle="Equipo Favorito" prompt="Elija un equipo del Mundial" sqref="D6:D200" xr:uid="{00000000-0002-0000-0100-000000000000}">
      <formula1>ListaEquipos</formula1>
      <formula2>0</formula2>
    </dataValidation>
    <dataValidation type="list" allowBlank="1" sqref="F6:F200" xr:uid="{00000000-0002-0000-0100-000001000000}">
      <formula1>"Activo,Inactivo"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0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2" width="12" customWidth="1"/>
    <col min="3" max="3" width="20" customWidth="1"/>
    <col min="4" max="4" width="10" customWidth="1"/>
    <col min="5" max="6" width="20" customWidth="1"/>
    <col min="7" max="8" width="14" customWidth="1"/>
    <col min="9" max="9" width="22" customWidth="1"/>
  </cols>
  <sheetData>
    <row r="1" spans="1:9" ht="25.5" customHeight="1">
      <c r="A1" s="1" t="str">
        <f>HYPERLINK("#'Dashboard'!A1","🏠 INICIO")</f>
        <v>🏠 INICIO</v>
      </c>
      <c r="B1" s="1" t="str">
        <f>HYPERLINK("#'Participantes'!A1","👥 PARTICIPANTES")</f>
        <v>👥 PARTICIPANTES</v>
      </c>
      <c r="C1" s="1" t="str">
        <f>HYPERLINK("#'Partidos'!A1","⚽ PARTIDOS")</f>
        <v>⚽ PARTIDOS</v>
      </c>
      <c r="D1" s="1" t="str">
        <f>HYPERLINK("#'Apuestas'!A1","🎯 APUESTAS")</f>
        <v>🎯 APUESTAS</v>
      </c>
      <c r="E1" s="1" t="str">
        <f>HYPERLINK("#'Resultados'!A1","📊 RESULTADOS")</f>
        <v>📊 RESULTADOS</v>
      </c>
      <c r="F1" s="1" t="str">
        <f>HYPERLINK("#'Ranking'!A1","🏆 RANKING")</f>
        <v>🏆 RANKING</v>
      </c>
      <c r="G1" s="1" t="str">
        <f>HYPERLINK("#'Informes'!A1","📈 INFORMES")</f>
        <v>📈 INFORMES</v>
      </c>
    </row>
    <row r="3" spans="1:9" ht="31.5" customHeight="1">
      <c r="A3" s="53" t="s">
        <v>87</v>
      </c>
      <c r="B3" s="53"/>
      <c r="C3" s="53"/>
      <c r="D3" s="53"/>
      <c r="E3" s="53"/>
      <c r="F3" s="53"/>
      <c r="G3" s="53"/>
      <c r="H3" s="53"/>
      <c r="I3" s="53"/>
    </row>
    <row r="5" spans="1:9" ht="31.5" customHeight="1">
      <c r="A5" s="9" t="s">
        <v>88</v>
      </c>
      <c r="B5" s="9" t="s">
        <v>89</v>
      </c>
      <c r="C5" s="9" t="s">
        <v>90</v>
      </c>
      <c r="D5" s="9" t="s">
        <v>91</v>
      </c>
      <c r="E5" s="9" t="s">
        <v>92</v>
      </c>
      <c r="F5" s="9" t="s">
        <v>93</v>
      </c>
      <c r="G5" s="9" t="s">
        <v>94</v>
      </c>
      <c r="H5" s="9" t="s">
        <v>95</v>
      </c>
      <c r="I5" s="9" t="s">
        <v>96</v>
      </c>
    </row>
    <row r="6" spans="1:9">
      <c r="A6" s="13" t="s">
        <v>97</v>
      </c>
      <c r="B6" s="13" t="s">
        <v>98</v>
      </c>
      <c r="C6" s="13" t="s">
        <v>99</v>
      </c>
      <c r="D6" s="13" t="s">
        <v>100</v>
      </c>
      <c r="E6" s="13" t="s">
        <v>21</v>
      </c>
      <c r="F6" s="13" t="s">
        <v>101</v>
      </c>
      <c r="G6" s="17">
        <v>2</v>
      </c>
      <c r="H6" s="17">
        <v>1</v>
      </c>
      <c r="I6" s="18" t="str">
        <f>IF(OR(G6="",H6=""),"Pendiente",IF(G6&gt;H6,"Gana "&amp;E6,IF(G6&lt;H6,"Gana "&amp;F6,"Empate")))</f>
        <v>Gana México</v>
      </c>
    </row>
    <row r="7" spans="1:9">
      <c r="A7" s="13" t="s">
        <v>102</v>
      </c>
      <c r="B7" s="13" t="s">
        <v>98</v>
      </c>
      <c r="C7" s="13" t="s">
        <v>99</v>
      </c>
      <c r="D7" s="13" t="s">
        <v>100</v>
      </c>
      <c r="E7" s="13" t="s">
        <v>26</v>
      </c>
      <c r="F7" s="13" t="s">
        <v>103</v>
      </c>
      <c r="G7" s="17">
        <v>1</v>
      </c>
      <c r="H7" s="17">
        <v>1</v>
      </c>
      <c r="I7" s="18" t="str">
        <f>IF(OR(G7="",H7=""),"Pendiente",IF(G7&gt;H7,"Gana "&amp;E7,IF(G7&lt;H7,"Gana "&amp;F7,"Empate")))</f>
        <v>Empate</v>
      </c>
    </row>
    <row r="8" spans="1:9">
      <c r="A8" s="13" t="s">
        <v>104</v>
      </c>
      <c r="B8" s="13" t="s">
        <v>105</v>
      </c>
      <c r="C8" s="13" t="s">
        <v>99</v>
      </c>
      <c r="D8" s="13" t="s">
        <v>106</v>
      </c>
      <c r="E8" s="13" t="s">
        <v>27</v>
      </c>
      <c r="F8" s="13" t="s">
        <v>107</v>
      </c>
      <c r="G8" s="17">
        <v>1</v>
      </c>
      <c r="H8" s="17">
        <v>0</v>
      </c>
      <c r="I8" s="18" t="str">
        <f>IF(OR(G8="",H8=""),"Pendiente",IF(G8&gt;H8,"Gana "&amp;E8,IF(G8&lt;H8,"Gana "&amp;F8,"Empate")))</f>
        <v>Gana Canadá</v>
      </c>
    </row>
    <row r="9" spans="1:9">
      <c r="A9" s="13" t="s">
        <v>108</v>
      </c>
      <c r="B9" s="13" t="s">
        <v>105</v>
      </c>
      <c r="C9" s="13" t="s">
        <v>99</v>
      </c>
      <c r="D9" s="13" t="s">
        <v>109</v>
      </c>
      <c r="E9" s="13" t="s">
        <v>24</v>
      </c>
      <c r="F9" s="13" t="s">
        <v>110</v>
      </c>
      <c r="G9" s="17">
        <v>2</v>
      </c>
      <c r="H9" s="17">
        <v>0</v>
      </c>
      <c r="I9" s="18" t="str">
        <f>IF(OR(G9="",H9=""),"Pendiente",IF(G9&gt;H9,"Gana "&amp;E9,IF(G9&lt;H9,"Gana "&amp;F9,"Empate")))</f>
        <v>Gana Estados Unidos</v>
      </c>
    </row>
    <row r="10" spans="1:9">
      <c r="A10" s="13" t="s">
        <v>111</v>
      </c>
      <c r="B10" s="13" t="s">
        <v>112</v>
      </c>
      <c r="C10" s="13" t="s">
        <v>99</v>
      </c>
      <c r="D10" s="13" t="s">
        <v>106</v>
      </c>
      <c r="E10" s="13" t="s">
        <v>113</v>
      </c>
      <c r="F10" s="13" t="s">
        <v>25</v>
      </c>
      <c r="G10" s="17">
        <v>0</v>
      </c>
      <c r="H10" s="17">
        <v>2</v>
      </c>
      <c r="I10" s="18" t="str">
        <f>IF(OR(G10="",H10=""),"Pendiente",IF(G10&gt;H10,"Gana "&amp;E10,IF(G10&lt;H10,"Gana "&amp;F10,"Empate")))</f>
        <v>Gana Suiza</v>
      </c>
    </row>
    <row r="11" spans="1:9">
      <c r="A11" s="13" t="s">
        <v>114</v>
      </c>
      <c r="B11" s="13" t="s">
        <v>112</v>
      </c>
      <c r="C11" s="13" t="s">
        <v>99</v>
      </c>
      <c r="D11" s="13" t="s">
        <v>115</v>
      </c>
      <c r="E11" s="13" t="s">
        <v>22</v>
      </c>
      <c r="F11" s="13" t="s">
        <v>28</v>
      </c>
      <c r="G11" s="17">
        <v>1</v>
      </c>
      <c r="H11" s="17">
        <v>2</v>
      </c>
      <c r="I11" s="18" t="str">
        <f>IF(OR(G11="",H11=""),"Pendiente",IF(G11&gt;H11,"Gana "&amp;E11,IF(G11&lt;H11,"Gana "&amp;F11,"Empate")))</f>
        <v>Gana Marruecos</v>
      </c>
    </row>
    <row r="12" spans="1:9">
      <c r="A12" s="13" t="s">
        <v>116</v>
      </c>
      <c r="B12" s="13" t="s">
        <v>112</v>
      </c>
      <c r="C12" s="13" t="s">
        <v>99</v>
      </c>
      <c r="D12" s="13" t="s">
        <v>115</v>
      </c>
      <c r="E12" s="13" t="s">
        <v>117</v>
      </c>
      <c r="F12" s="13" t="s">
        <v>118</v>
      </c>
      <c r="G12" s="17">
        <v>0</v>
      </c>
      <c r="H12" s="17">
        <v>1</v>
      </c>
      <c r="I12" s="18" t="str">
        <f>IF(OR(G12="",H12=""),"Pendiente",IF(G12&gt;H12,"Gana "&amp;E12,IF(G12&lt;H12,"Gana "&amp;F12,"Empate")))</f>
        <v>Gana Escocia</v>
      </c>
    </row>
    <row r="13" spans="1:9">
      <c r="A13" s="13" t="s">
        <v>119</v>
      </c>
      <c r="B13" s="13" t="s">
        <v>120</v>
      </c>
      <c r="C13" s="13" t="s">
        <v>99</v>
      </c>
      <c r="D13" s="13" t="s">
        <v>121</v>
      </c>
      <c r="E13" s="13" t="s">
        <v>23</v>
      </c>
      <c r="F13" s="13" t="s">
        <v>122</v>
      </c>
      <c r="G13" s="17">
        <v>3</v>
      </c>
      <c r="H13" s="17">
        <v>0</v>
      </c>
      <c r="I13" s="18" t="str">
        <f>IF(OR(G13="",H13=""),"Pendiente",IF(G13&gt;H13,"Gana "&amp;E13,IF(G13&lt;H13,"Gana "&amp;F13,"Empate")))</f>
        <v>Gana Alemania</v>
      </c>
    </row>
    <row r="14" spans="1:9">
      <c r="A14" s="13" t="s">
        <v>123</v>
      </c>
      <c r="B14" s="13" t="s">
        <v>120</v>
      </c>
      <c r="C14" s="13" t="s">
        <v>99</v>
      </c>
      <c r="D14" s="13" t="s">
        <v>121</v>
      </c>
      <c r="E14" s="13" t="s">
        <v>124</v>
      </c>
      <c r="F14" s="13" t="s">
        <v>125</v>
      </c>
      <c r="G14" s="17"/>
      <c r="H14" s="17"/>
      <c r="I14" s="18" t="str">
        <f>IF(OR(G14="",H14=""),"Pendiente",IF(G14&gt;H14,"Gana "&amp;E14,IF(G14&lt;H14,"Gana "&amp;F14,"Empate")))</f>
        <v>Pendiente</v>
      </c>
    </row>
    <row r="15" spans="1:9">
      <c r="A15" s="13" t="s">
        <v>126</v>
      </c>
      <c r="B15" s="13" t="s">
        <v>120</v>
      </c>
      <c r="C15" s="13" t="s">
        <v>99</v>
      </c>
      <c r="D15" s="13" t="s">
        <v>127</v>
      </c>
      <c r="E15" s="13" t="s">
        <v>80</v>
      </c>
      <c r="F15" s="13" t="s">
        <v>128</v>
      </c>
      <c r="G15" s="17"/>
      <c r="H15" s="17"/>
      <c r="I15" s="18" t="str">
        <f>IF(OR(G15="",H15=""),"Pendiente",IF(G15&gt;H15,"Gana "&amp;E15,IF(G15&lt;H15,"Gana "&amp;F15,"Empate")))</f>
        <v>Pendiente</v>
      </c>
    </row>
    <row r="16" spans="1:9">
      <c r="A16" s="13" t="s">
        <v>129</v>
      </c>
      <c r="B16" s="13" t="s">
        <v>130</v>
      </c>
      <c r="C16" s="13" t="s">
        <v>99</v>
      </c>
      <c r="D16" s="13" t="s">
        <v>131</v>
      </c>
      <c r="E16" s="13" t="s">
        <v>132</v>
      </c>
      <c r="F16" s="13" t="s">
        <v>133</v>
      </c>
      <c r="G16" s="17"/>
      <c r="H16" s="17"/>
      <c r="I16" s="18" t="str">
        <f>IF(OR(G16="",H16=""),"Pendiente",IF(G16&gt;H16,"Gana "&amp;E16,IF(G16&lt;H16,"Gana "&amp;F16,"Empate")))</f>
        <v>Pendiente</v>
      </c>
    </row>
    <row r="17" spans="1:9">
      <c r="A17" s="13" t="s">
        <v>134</v>
      </c>
      <c r="B17" s="13" t="s">
        <v>130</v>
      </c>
      <c r="C17" s="13" t="s">
        <v>99</v>
      </c>
      <c r="D17" s="13" t="s">
        <v>135</v>
      </c>
      <c r="E17" s="13" t="s">
        <v>56</v>
      </c>
      <c r="F17" s="13" t="s">
        <v>136</v>
      </c>
      <c r="G17" s="17"/>
      <c r="H17" s="17"/>
      <c r="I17" s="18" t="str">
        <f>IF(OR(G17="",H17=""),"Pendiente",IF(G17&gt;H17,"Gana "&amp;E17,IF(G17&lt;H17,"Gana "&amp;F17,"Empate")))</f>
        <v>Pendiente</v>
      </c>
    </row>
    <row r="18" spans="1:9">
      <c r="A18" s="13" t="s">
        <v>137</v>
      </c>
      <c r="B18" s="13" t="s">
        <v>130</v>
      </c>
      <c r="C18" s="13" t="s">
        <v>99</v>
      </c>
      <c r="D18" s="13" t="s">
        <v>135</v>
      </c>
      <c r="E18" s="13" t="s">
        <v>138</v>
      </c>
      <c r="F18" s="13" t="s">
        <v>51</v>
      </c>
      <c r="G18" s="17"/>
      <c r="H18" s="17"/>
      <c r="I18" s="18" t="str">
        <f>IF(OR(G18="",H18=""),"Pendiente",IF(G18&gt;H18,"Gana "&amp;E18,IF(G18&lt;H18,"Gana "&amp;F18,"Empate")))</f>
        <v>Pendiente</v>
      </c>
    </row>
    <row r="19" spans="1:9">
      <c r="A19" s="13" t="s">
        <v>139</v>
      </c>
      <c r="B19" s="13" t="s">
        <v>140</v>
      </c>
      <c r="C19" s="13" t="s">
        <v>99</v>
      </c>
      <c r="D19" s="13" t="s">
        <v>141</v>
      </c>
      <c r="E19" s="13" t="s">
        <v>61</v>
      </c>
      <c r="F19" s="13" t="s">
        <v>142</v>
      </c>
      <c r="G19" s="17"/>
      <c r="H19" s="17"/>
      <c r="I19" s="18" t="str">
        <f>IF(OR(G19="",H19=""),"Pendiente",IF(G19&gt;H19,"Gana "&amp;E19,IF(G19&lt;H19,"Gana "&amp;F19,"Empate")))</f>
        <v>Pendiente</v>
      </c>
    </row>
    <row r="20" spans="1:9">
      <c r="A20" s="13" t="s">
        <v>143</v>
      </c>
      <c r="B20" s="13" t="s">
        <v>140</v>
      </c>
      <c r="C20" s="13" t="s">
        <v>99</v>
      </c>
      <c r="D20" s="13" t="s">
        <v>144</v>
      </c>
      <c r="E20" s="13" t="s">
        <v>41</v>
      </c>
      <c r="F20" s="13" t="s">
        <v>145</v>
      </c>
      <c r="G20" s="17"/>
      <c r="H20" s="17"/>
      <c r="I20" s="18" t="str">
        <f>IF(OR(G20="",H20=""),"Pendiente",IF(G20&gt;H20,"Gana "&amp;E20,IF(G20&lt;H20,"Gana "&amp;F20,"Empate")))</f>
        <v>Pendiente</v>
      </c>
    </row>
    <row r="21" spans="1:9">
      <c r="A21" s="13" t="s">
        <v>146</v>
      </c>
      <c r="B21" s="13" t="s">
        <v>147</v>
      </c>
      <c r="C21" s="13" t="s">
        <v>99</v>
      </c>
      <c r="D21" s="13" t="s">
        <v>148</v>
      </c>
      <c r="E21" s="13" t="s">
        <v>75</v>
      </c>
      <c r="F21" s="13" t="s">
        <v>149</v>
      </c>
      <c r="G21" s="17"/>
      <c r="H21" s="17"/>
      <c r="I21" s="18" t="str">
        <f>IF(OR(G21="",H21=""),"Pendiente",IF(G21&gt;H21,"Gana "&amp;E21,IF(G21&lt;H21,"Gana "&amp;F21,"Empate")))</f>
        <v>Pendiente</v>
      </c>
    </row>
    <row r="22" spans="1:9">
      <c r="A22" s="13" t="s">
        <v>150</v>
      </c>
      <c r="B22" s="13" t="s">
        <v>147</v>
      </c>
      <c r="C22" s="13" t="s">
        <v>99</v>
      </c>
      <c r="D22" s="13" t="s">
        <v>151</v>
      </c>
      <c r="E22" s="13" t="s">
        <v>66</v>
      </c>
      <c r="F22" s="13" t="s">
        <v>152</v>
      </c>
      <c r="G22" s="17"/>
      <c r="H22" s="17"/>
      <c r="I22" s="18" t="str">
        <f>IF(OR(G22="",H22=""),"Pendiente",IF(G22&gt;H22,"Gana "&amp;E22,IF(G22&lt;H22,"Gana "&amp;F22,"Empate")))</f>
        <v>Pendiente</v>
      </c>
    </row>
    <row r="23" spans="1:9">
      <c r="A23" s="13" t="s">
        <v>153</v>
      </c>
      <c r="B23" s="13" t="s">
        <v>147</v>
      </c>
      <c r="C23" s="13" t="s">
        <v>99</v>
      </c>
      <c r="D23" s="13" t="s">
        <v>151</v>
      </c>
      <c r="E23" s="13" t="s">
        <v>154</v>
      </c>
      <c r="F23" s="13" t="s">
        <v>155</v>
      </c>
      <c r="G23" s="17"/>
      <c r="H23" s="17"/>
      <c r="I23" s="18" t="str">
        <f>IF(OR(G23="",H23=""),"Pendiente",IF(G23&gt;H23,"Gana "&amp;E23,IF(G23&lt;H23,"Gana "&amp;F23,"Empate")))</f>
        <v>Pendiente</v>
      </c>
    </row>
    <row r="24" spans="1:9">
      <c r="A24" s="16"/>
      <c r="B24" s="16"/>
      <c r="C24" s="16"/>
      <c r="D24" s="16"/>
      <c r="E24" s="16"/>
      <c r="F24" s="16"/>
      <c r="G24" s="16"/>
      <c r="H24" s="16"/>
    </row>
    <row r="25" spans="1:9">
      <c r="A25" s="16"/>
      <c r="B25" s="16"/>
      <c r="C25" s="16"/>
      <c r="D25" s="16"/>
      <c r="E25" s="16"/>
      <c r="F25" s="16"/>
      <c r="G25" s="16"/>
      <c r="H25" s="16"/>
    </row>
    <row r="26" spans="1:9">
      <c r="A26" s="16"/>
      <c r="B26" s="16"/>
      <c r="C26" s="16"/>
      <c r="D26" s="16"/>
      <c r="E26" s="16"/>
      <c r="F26" s="16"/>
      <c r="G26" s="16"/>
      <c r="H26" s="16"/>
    </row>
    <row r="27" spans="1:9">
      <c r="A27" s="16"/>
      <c r="B27" s="16"/>
      <c r="C27" s="16"/>
      <c r="D27" s="16"/>
      <c r="E27" s="16"/>
      <c r="F27" s="16"/>
      <c r="G27" s="16"/>
      <c r="H27" s="16"/>
    </row>
    <row r="28" spans="1:9">
      <c r="A28" s="16"/>
      <c r="B28" s="16"/>
      <c r="C28" s="16"/>
      <c r="D28" s="16"/>
      <c r="E28" s="16"/>
      <c r="F28" s="16"/>
      <c r="G28" s="16"/>
      <c r="H28" s="16"/>
    </row>
    <row r="29" spans="1:9">
      <c r="A29" s="16"/>
      <c r="B29" s="16"/>
      <c r="C29" s="16"/>
      <c r="D29" s="16"/>
      <c r="E29" s="16"/>
      <c r="F29" s="16"/>
      <c r="G29" s="16"/>
      <c r="H29" s="16"/>
    </row>
    <row r="30" spans="1:9">
      <c r="A30" s="16"/>
      <c r="B30" s="16"/>
      <c r="C30" s="16"/>
      <c r="D30" s="16"/>
      <c r="E30" s="16"/>
      <c r="F30" s="16"/>
      <c r="G30" s="16"/>
      <c r="H30" s="16"/>
    </row>
    <row r="31" spans="1:9">
      <c r="A31" s="16"/>
      <c r="B31" s="16"/>
      <c r="C31" s="16"/>
      <c r="D31" s="16"/>
      <c r="E31" s="16"/>
      <c r="F31" s="16"/>
      <c r="G31" s="16"/>
      <c r="H31" s="16"/>
    </row>
    <row r="32" spans="1:9">
      <c r="A32" s="16"/>
      <c r="B32" s="16"/>
      <c r="C32" s="16"/>
      <c r="D32" s="16"/>
      <c r="E32" s="16"/>
      <c r="F32" s="16"/>
      <c r="G32" s="16"/>
      <c r="H32" s="16"/>
    </row>
    <row r="33" spans="1:8">
      <c r="A33" s="16"/>
      <c r="B33" s="16"/>
      <c r="C33" s="16"/>
      <c r="D33" s="16"/>
      <c r="E33" s="16"/>
      <c r="F33" s="16"/>
      <c r="G33" s="16"/>
      <c r="H33" s="16"/>
    </row>
    <row r="34" spans="1:8">
      <c r="A34" s="16"/>
      <c r="B34" s="16"/>
      <c r="C34" s="16"/>
      <c r="D34" s="16"/>
      <c r="E34" s="16"/>
      <c r="F34" s="16"/>
      <c r="G34" s="16"/>
      <c r="H34" s="16"/>
    </row>
    <row r="35" spans="1:8">
      <c r="A35" s="16"/>
      <c r="B35" s="16"/>
      <c r="C35" s="16"/>
      <c r="D35" s="16"/>
      <c r="E35" s="16"/>
      <c r="F35" s="16"/>
      <c r="G35" s="16"/>
      <c r="H35" s="16"/>
    </row>
    <row r="36" spans="1:8">
      <c r="A36" s="16"/>
      <c r="B36" s="16"/>
      <c r="C36" s="16"/>
      <c r="D36" s="16"/>
      <c r="E36" s="16"/>
      <c r="F36" s="16"/>
      <c r="G36" s="16"/>
      <c r="H36" s="16"/>
    </row>
    <row r="37" spans="1:8">
      <c r="A37" s="16"/>
      <c r="B37" s="16"/>
      <c r="C37" s="16"/>
      <c r="D37" s="16"/>
      <c r="E37" s="16"/>
      <c r="F37" s="16"/>
      <c r="G37" s="16"/>
      <c r="H37" s="16"/>
    </row>
    <row r="38" spans="1:8">
      <c r="A38" s="16"/>
      <c r="B38" s="16"/>
      <c r="C38" s="16"/>
      <c r="D38" s="16"/>
      <c r="E38" s="16"/>
      <c r="F38" s="16"/>
      <c r="G38" s="16"/>
      <c r="H38" s="16"/>
    </row>
    <row r="39" spans="1:8">
      <c r="A39" s="16"/>
      <c r="B39" s="16"/>
      <c r="C39" s="16"/>
      <c r="D39" s="16"/>
      <c r="E39" s="16"/>
      <c r="F39" s="16"/>
      <c r="G39" s="16"/>
      <c r="H39" s="16"/>
    </row>
    <row r="40" spans="1:8">
      <c r="A40" s="16"/>
      <c r="B40" s="16"/>
      <c r="C40" s="16"/>
      <c r="D40" s="16"/>
      <c r="E40" s="16"/>
      <c r="F40" s="16"/>
      <c r="G40" s="16"/>
      <c r="H40" s="16"/>
    </row>
    <row r="41" spans="1:8">
      <c r="A41" s="16"/>
      <c r="B41" s="16"/>
      <c r="C41" s="16"/>
      <c r="D41" s="16"/>
      <c r="E41" s="16"/>
      <c r="F41" s="16"/>
      <c r="G41" s="16"/>
      <c r="H41" s="16"/>
    </row>
    <row r="42" spans="1:8">
      <c r="A42" s="16"/>
      <c r="B42" s="16"/>
      <c r="C42" s="16"/>
      <c r="D42" s="16"/>
      <c r="E42" s="16"/>
      <c r="F42" s="16"/>
      <c r="G42" s="16"/>
      <c r="H42" s="16"/>
    </row>
    <row r="43" spans="1:8">
      <c r="A43" s="16"/>
      <c r="B43" s="16"/>
      <c r="C43" s="16"/>
      <c r="D43" s="16"/>
      <c r="E43" s="16"/>
      <c r="F43" s="16"/>
      <c r="G43" s="16"/>
      <c r="H43" s="16"/>
    </row>
    <row r="44" spans="1:8">
      <c r="A44" s="16"/>
      <c r="B44" s="16"/>
      <c r="C44" s="16"/>
      <c r="D44" s="16"/>
      <c r="E44" s="16"/>
      <c r="F44" s="16"/>
      <c r="G44" s="16"/>
      <c r="H44" s="16"/>
    </row>
    <row r="45" spans="1:8">
      <c r="A45" s="16"/>
      <c r="B45" s="16"/>
      <c r="C45" s="16"/>
      <c r="D45" s="16"/>
      <c r="E45" s="16"/>
      <c r="F45" s="16"/>
      <c r="G45" s="16"/>
      <c r="H45" s="16"/>
    </row>
    <row r="46" spans="1:8">
      <c r="A46" s="16"/>
      <c r="B46" s="16"/>
      <c r="C46" s="16"/>
      <c r="D46" s="16"/>
      <c r="E46" s="16"/>
      <c r="F46" s="16"/>
      <c r="G46" s="16"/>
      <c r="H46" s="16"/>
    </row>
    <row r="47" spans="1:8">
      <c r="A47" s="16"/>
      <c r="B47" s="16"/>
      <c r="C47" s="16"/>
      <c r="D47" s="16"/>
      <c r="E47" s="16"/>
      <c r="F47" s="16"/>
      <c r="G47" s="16"/>
      <c r="H47" s="16"/>
    </row>
    <row r="48" spans="1:8">
      <c r="A48" s="16"/>
      <c r="B48" s="16"/>
      <c r="C48" s="16"/>
      <c r="D48" s="16"/>
      <c r="E48" s="16"/>
      <c r="F48" s="16"/>
      <c r="G48" s="16"/>
      <c r="H48" s="16"/>
    </row>
    <row r="49" spans="1:8">
      <c r="A49" s="16"/>
      <c r="B49" s="16"/>
      <c r="C49" s="16"/>
      <c r="D49" s="16"/>
      <c r="E49" s="16"/>
      <c r="F49" s="16"/>
      <c r="G49" s="16"/>
      <c r="H49" s="16"/>
    </row>
    <row r="50" spans="1:8">
      <c r="A50" s="16"/>
      <c r="B50" s="16"/>
      <c r="C50" s="16"/>
      <c r="D50" s="16"/>
      <c r="E50" s="16"/>
      <c r="F50" s="16"/>
      <c r="G50" s="16"/>
      <c r="H50" s="16"/>
    </row>
    <row r="51" spans="1:8">
      <c r="A51" s="16"/>
      <c r="B51" s="16"/>
      <c r="C51" s="16"/>
      <c r="D51" s="16"/>
      <c r="E51" s="16"/>
      <c r="F51" s="16"/>
      <c r="G51" s="16"/>
      <c r="H51" s="16"/>
    </row>
    <row r="52" spans="1:8">
      <c r="A52" s="16"/>
      <c r="B52" s="16"/>
      <c r="C52" s="16"/>
      <c r="D52" s="16"/>
      <c r="E52" s="16"/>
      <c r="F52" s="16"/>
      <c r="G52" s="16"/>
      <c r="H52" s="16"/>
    </row>
    <row r="53" spans="1:8">
      <c r="A53" s="16"/>
      <c r="B53" s="16"/>
      <c r="C53" s="16"/>
      <c r="D53" s="16"/>
      <c r="E53" s="16"/>
      <c r="F53" s="16"/>
      <c r="G53" s="16"/>
      <c r="H53" s="16"/>
    </row>
    <row r="54" spans="1:8">
      <c r="A54" s="16"/>
      <c r="B54" s="16"/>
      <c r="C54" s="16"/>
      <c r="D54" s="16"/>
      <c r="E54" s="16"/>
      <c r="F54" s="16"/>
      <c r="G54" s="16"/>
      <c r="H54" s="16"/>
    </row>
    <row r="55" spans="1:8">
      <c r="A55" s="16"/>
      <c r="B55" s="16"/>
      <c r="C55" s="16"/>
      <c r="D55" s="16"/>
      <c r="E55" s="16"/>
      <c r="F55" s="16"/>
      <c r="G55" s="16"/>
      <c r="H55" s="16"/>
    </row>
    <row r="56" spans="1:8">
      <c r="A56" s="16"/>
      <c r="B56" s="16"/>
      <c r="C56" s="16"/>
      <c r="D56" s="16"/>
      <c r="E56" s="16"/>
      <c r="F56" s="16"/>
      <c r="G56" s="16"/>
      <c r="H56" s="16"/>
    </row>
    <row r="57" spans="1:8">
      <c r="A57" s="16"/>
      <c r="B57" s="16"/>
      <c r="C57" s="16"/>
      <c r="D57" s="16"/>
      <c r="E57" s="16"/>
      <c r="F57" s="16"/>
      <c r="G57" s="16"/>
      <c r="H57" s="16"/>
    </row>
    <row r="58" spans="1:8">
      <c r="A58" s="16"/>
      <c r="B58" s="16"/>
      <c r="C58" s="16"/>
      <c r="D58" s="16"/>
      <c r="E58" s="16"/>
      <c r="F58" s="16"/>
      <c r="G58" s="16"/>
      <c r="H58" s="16"/>
    </row>
    <row r="59" spans="1:8">
      <c r="A59" s="16"/>
      <c r="B59" s="16"/>
      <c r="C59" s="16"/>
      <c r="D59" s="16"/>
      <c r="E59" s="16"/>
      <c r="F59" s="16"/>
      <c r="G59" s="16"/>
      <c r="H59" s="16"/>
    </row>
    <row r="60" spans="1:8">
      <c r="A60" s="16"/>
      <c r="B60" s="16"/>
      <c r="C60" s="16"/>
      <c r="D60" s="16"/>
      <c r="E60" s="16"/>
      <c r="F60" s="16"/>
      <c r="G60" s="16"/>
      <c r="H60" s="16"/>
    </row>
    <row r="61" spans="1:8">
      <c r="A61" s="16"/>
      <c r="B61" s="16"/>
      <c r="C61" s="16"/>
      <c r="D61" s="16"/>
      <c r="E61" s="16"/>
      <c r="F61" s="16"/>
      <c r="G61" s="16"/>
      <c r="H61" s="16"/>
    </row>
    <row r="62" spans="1:8">
      <c r="A62" s="16"/>
      <c r="B62" s="16"/>
      <c r="C62" s="16"/>
      <c r="D62" s="16"/>
      <c r="E62" s="16"/>
      <c r="F62" s="16"/>
      <c r="G62" s="16"/>
      <c r="H62" s="16"/>
    </row>
    <row r="63" spans="1:8">
      <c r="A63" s="16"/>
      <c r="B63" s="16"/>
      <c r="C63" s="16"/>
      <c r="D63" s="16"/>
      <c r="E63" s="16"/>
      <c r="F63" s="16"/>
      <c r="G63" s="16"/>
      <c r="H63" s="16"/>
    </row>
    <row r="64" spans="1:8">
      <c r="A64" s="16"/>
      <c r="B64" s="16"/>
      <c r="C64" s="16"/>
      <c r="D64" s="16"/>
      <c r="E64" s="16"/>
      <c r="F64" s="16"/>
      <c r="G64" s="16"/>
      <c r="H64" s="16"/>
    </row>
    <row r="65" spans="1:8">
      <c r="A65" s="16"/>
      <c r="B65" s="16"/>
      <c r="C65" s="16"/>
      <c r="D65" s="16"/>
      <c r="E65" s="16"/>
      <c r="F65" s="16"/>
      <c r="G65" s="16"/>
      <c r="H65" s="16"/>
    </row>
    <row r="66" spans="1:8">
      <c r="A66" s="16"/>
      <c r="B66" s="16"/>
      <c r="C66" s="16"/>
      <c r="D66" s="16"/>
      <c r="E66" s="16"/>
      <c r="F66" s="16"/>
      <c r="G66" s="16"/>
      <c r="H66" s="16"/>
    </row>
    <row r="67" spans="1:8">
      <c r="A67" s="16"/>
      <c r="B67" s="16"/>
      <c r="C67" s="16"/>
      <c r="D67" s="16"/>
      <c r="E67" s="16"/>
      <c r="F67" s="16"/>
      <c r="G67" s="16"/>
      <c r="H67" s="16"/>
    </row>
    <row r="68" spans="1:8">
      <c r="A68" s="16"/>
      <c r="B68" s="16"/>
      <c r="C68" s="16"/>
      <c r="D68" s="16"/>
      <c r="E68" s="16"/>
      <c r="F68" s="16"/>
      <c r="G68" s="16"/>
      <c r="H68" s="16"/>
    </row>
    <row r="69" spans="1:8">
      <c r="A69" s="16"/>
      <c r="B69" s="16"/>
      <c r="C69" s="16"/>
      <c r="D69" s="16"/>
      <c r="E69" s="16"/>
      <c r="F69" s="16"/>
      <c r="G69" s="16"/>
      <c r="H69" s="16"/>
    </row>
    <row r="70" spans="1:8">
      <c r="A70" s="16"/>
      <c r="B70" s="16"/>
      <c r="C70" s="16"/>
      <c r="D70" s="16"/>
      <c r="E70" s="16"/>
      <c r="F70" s="16"/>
      <c r="G70" s="16"/>
      <c r="H70" s="16"/>
    </row>
    <row r="71" spans="1:8">
      <c r="A71" s="16"/>
      <c r="B71" s="16"/>
      <c r="C71" s="16"/>
      <c r="D71" s="16"/>
      <c r="E71" s="16"/>
      <c r="F71" s="16"/>
      <c r="G71" s="16"/>
      <c r="H71" s="16"/>
    </row>
    <row r="72" spans="1:8">
      <c r="A72" s="16"/>
      <c r="B72" s="16"/>
      <c r="C72" s="16"/>
      <c r="D72" s="16"/>
      <c r="E72" s="16"/>
      <c r="F72" s="16"/>
      <c r="G72" s="16"/>
      <c r="H72" s="16"/>
    </row>
    <row r="73" spans="1:8">
      <c r="A73" s="16"/>
      <c r="B73" s="16"/>
      <c r="C73" s="16"/>
      <c r="D73" s="16"/>
      <c r="E73" s="16"/>
      <c r="F73" s="16"/>
      <c r="G73" s="16"/>
      <c r="H73" s="16"/>
    </row>
    <row r="74" spans="1:8">
      <c r="A74" s="16"/>
      <c r="B74" s="16"/>
      <c r="C74" s="16"/>
      <c r="D74" s="16"/>
      <c r="E74" s="16"/>
      <c r="F74" s="16"/>
      <c r="G74" s="16"/>
      <c r="H74" s="16"/>
    </row>
    <row r="75" spans="1:8">
      <c r="A75" s="16"/>
      <c r="B75" s="16"/>
      <c r="C75" s="16"/>
      <c r="D75" s="16"/>
      <c r="E75" s="16"/>
      <c r="F75" s="16"/>
      <c r="G75" s="16"/>
      <c r="H75" s="16"/>
    </row>
    <row r="76" spans="1:8">
      <c r="A76" s="16"/>
      <c r="B76" s="16"/>
      <c r="C76" s="16"/>
      <c r="D76" s="16"/>
      <c r="E76" s="16"/>
      <c r="F76" s="16"/>
      <c r="G76" s="16"/>
      <c r="H76" s="16"/>
    </row>
    <row r="77" spans="1:8">
      <c r="A77" s="16"/>
      <c r="B77" s="16"/>
      <c r="C77" s="16"/>
      <c r="D77" s="16"/>
      <c r="E77" s="16"/>
      <c r="F77" s="16"/>
      <c r="G77" s="16"/>
      <c r="H77" s="16"/>
    </row>
    <row r="78" spans="1:8">
      <c r="A78" s="16"/>
      <c r="B78" s="16"/>
      <c r="C78" s="16"/>
      <c r="D78" s="16"/>
      <c r="E78" s="16"/>
      <c r="F78" s="16"/>
      <c r="G78" s="16"/>
      <c r="H78" s="16"/>
    </row>
    <row r="79" spans="1:8">
      <c r="A79" s="16"/>
      <c r="B79" s="16"/>
      <c r="C79" s="16"/>
      <c r="D79" s="16"/>
      <c r="E79" s="16"/>
      <c r="F79" s="16"/>
      <c r="G79" s="16"/>
      <c r="H79" s="16"/>
    </row>
    <row r="80" spans="1:8">
      <c r="A80" s="16"/>
      <c r="B80" s="16"/>
      <c r="C80" s="16"/>
      <c r="D80" s="16"/>
      <c r="E80" s="16"/>
      <c r="F80" s="16"/>
      <c r="G80" s="16"/>
      <c r="H80" s="16"/>
    </row>
    <row r="81" spans="1:8">
      <c r="A81" s="16"/>
      <c r="B81" s="16"/>
      <c r="C81" s="16"/>
      <c r="D81" s="16"/>
      <c r="E81" s="16"/>
      <c r="F81" s="16"/>
      <c r="G81" s="16"/>
      <c r="H81" s="16"/>
    </row>
    <row r="82" spans="1:8">
      <c r="A82" s="16"/>
      <c r="B82" s="16"/>
      <c r="C82" s="16"/>
      <c r="D82" s="16"/>
      <c r="E82" s="16"/>
      <c r="F82" s="16"/>
      <c r="G82" s="16"/>
      <c r="H82" s="16"/>
    </row>
    <row r="83" spans="1:8">
      <c r="A83" s="16"/>
      <c r="B83" s="16"/>
      <c r="C83" s="16"/>
      <c r="D83" s="16"/>
      <c r="E83" s="16"/>
      <c r="F83" s="16"/>
      <c r="G83" s="16"/>
      <c r="H83" s="16"/>
    </row>
    <row r="84" spans="1:8">
      <c r="A84" s="16"/>
      <c r="B84" s="16"/>
      <c r="C84" s="16"/>
      <c r="D84" s="16"/>
      <c r="E84" s="16"/>
      <c r="F84" s="16"/>
      <c r="G84" s="16"/>
      <c r="H84" s="16"/>
    </row>
    <row r="85" spans="1:8">
      <c r="A85" s="16"/>
      <c r="B85" s="16"/>
      <c r="C85" s="16"/>
      <c r="D85" s="16"/>
      <c r="E85" s="16"/>
      <c r="F85" s="16"/>
      <c r="G85" s="16"/>
      <c r="H85" s="16"/>
    </row>
    <row r="86" spans="1:8">
      <c r="A86" s="16"/>
      <c r="B86" s="16"/>
      <c r="C86" s="16"/>
      <c r="D86" s="16"/>
      <c r="E86" s="16"/>
      <c r="F86" s="16"/>
      <c r="G86" s="16"/>
      <c r="H86" s="16"/>
    </row>
    <row r="87" spans="1:8">
      <c r="A87" s="16"/>
      <c r="B87" s="16"/>
      <c r="C87" s="16"/>
      <c r="D87" s="16"/>
      <c r="E87" s="16"/>
      <c r="F87" s="16"/>
      <c r="G87" s="16"/>
      <c r="H87" s="16"/>
    </row>
    <row r="88" spans="1:8">
      <c r="A88" s="16"/>
      <c r="B88" s="16"/>
      <c r="C88" s="16"/>
      <c r="D88" s="16"/>
      <c r="E88" s="16"/>
      <c r="F88" s="16"/>
      <c r="G88" s="16"/>
      <c r="H88" s="16"/>
    </row>
    <row r="89" spans="1:8">
      <c r="A89" s="16"/>
      <c r="B89" s="16"/>
      <c r="C89" s="16"/>
      <c r="D89" s="16"/>
      <c r="E89" s="16"/>
      <c r="F89" s="16"/>
      <c r="G89" s="16"/>
      <c r="H89" s="16"/>
    </row>
    <row r="90" spans="1:8">
      <c r="A90" s="16"/>
      <c r="B90" s="16"/>
      <c r="C90" s="16"/>
      <c r="D90" s="16"/>
      <c r="E90" s="16"/>
      <c r="F90" s="16"/>
      <c r="G90" s="16"/>
      <c r="H90" s="16"/>
    </row>
    <row r="91" spans="1:8">
      <c r="A91" s="16"/>
      <c r="B91" s="16"/>
      <c r="C91" s="16"/>
      <c r="D91" s="16"/>
      <c r="E91" s="16"/>
      <c r="F91" s="16"/>
      <c r="G91" s="16"/>
      <c r="H91" s="16"/>
    </row>
    <row r="92" spans="1:8">
      <c r="A92" s="16"/>
      <c r="B92" s="16"/>
      <c r="C92" s="16"/>
      <c r="D92" s="16"/>
      <c r="E92" s="16"/>
      <c r="F92" s="16"/>
      <c r="G92" s="16"/>
      <c r="H92" s="16"/>
    </row>
    <row r="93" spans="1:8">
      <c r="A93" s="16"/>
      <c r="B93" s="16"/>
      <c r="C93" s="16"/>
      <c r="D93" s="16"/>
      <c r="E93" s="16"/>
      <c r="F93" s="16"/>
      <c r="G93" s="16"/>
      <c r="H93" s="16"/>
    </row>
    <row r="94" spans="1:8">
      <c r="A94" s="16"/>
      <c r="B94" s="16"/>
      <c r="C94" s="16"/>
      <c r="D94" s="16"/>
      <c r="E94" s="16"/>
      <c r="F94" s="16"/>
      <c r="G94" s="16"/>
      <c r="H94" s="16"/>
    </row>
    <row r="95" spans="1:8">
      <c r="A95" s="16"/>
      <c r="B95" s="16"/>
      <c r="C95" s="16"/>
      <c r="D95" s="16"/>
      <c r="E95" s="16"/>
      <c r="F95" s="16"/>
      <c r="G95" s="16"/>
      <c r="H95" s="16"/>
    </row>
    <row r="96" spans="1:8">
      <c r="A96" s="16"/>
      <c r="B96" s="16"/>
      <c r="C96" s="16"/>
      <c r="D96" s="16"/>
      <c r="E96" s="16"/>
      <c r="F96" s="16"/>
      <c r="G96" s="16"/>
      <c r="H96" s="16"/>
    </row>
    <row r="97" spans="1:8">
      <c r="A97" s="16"/>
      <c r="B97" s="16"/>
      <c r="C97" s="16"/>
      <c r="D97" s="16"/>
      <c r="E97" s="16"/>
      <c r="F97" s="16"/>
      <c r="G97" s="16"/>
      <c r="H97" s="16"/>
    </row>
    <row r="98" spans="1:8">
      <c r="A98" s="16"/>
      <c r="B98" s="16"/>
      <c r="C98" s="16"/>
      <c r="D98" s="16"/>
      <c r="E98" s="16"/>
      <c r="F98" s="16"/>
      <c r="G98" s="16"/>
      <c r="H98" s="16"/>
    </row>
    <row r="99" spans="1:8">
      <c r="A99" s="16"/>
      <c r="B99" s="16"/>
      <c r="C99" s="16"/>
      <c r="D99" s="16"/>
      <c r="E99" s="16"/>
      <c r="F99" s="16"/>
      <c r="G99" s="16"/>
      <c r="H99" s="16"/>
    </row>
    <row r="100" spans="1:8">
      <c r="A100" s="16"/>
      <c r="B100" s="16"/>
      <c r="C100" s="16"/>
      <c r="D100" s="16"/>
      <c r="E100" s="16"/>
      <c r="F100" s="16"/>
      <c r="G100" s="16"/>
      <c r="H100" s="16"/>
    </row>
    <row r="101" spans="1:8">
      <c r="A101" s="16"/>
      <c r="B101" s="16"/>
      <c r="C101" s="16"/>
      <c r="D101" s="16"/>
      <c r="E101" s="16"/>
      <c r="F101" s="16"/>
      <c r="G101" s="16"/>
      <c r="H101" s="16"/>
    </row>
    <row r="102" spans="1:8">
      <c r="A102" s="16"/>
      <c r="B102" s="16"/>
      <c r="C102" s="16"/>
      <c r="D102" s="16"/>
      <c r="E102" s="16"/>
      <c r="F102" s="16"/>
      <c r="G102" s="16"/>
      <c r="H102" s="16"/>
    </row>
    <row r="103" spans="1:8">
      <c r="A103" s="16"/>
      <c r="B103" s="16"/>
      <c r="C103" s="16"/>
      <c r="D103" s="16"/>
      <c r="E103" s="16"/>
      <c r="F103" s="16"/>
      <c r="G103" s="16"/>
      <c r="H103" s="16"/>
    </row>
    <row r="104" spans="1:8">
      <c r="A104" s="16"/>
      <c r="B104" s="16"/>
      <c r="C104" s="16"/>
      <c r="D104" s="16"/>
      <c r="E104" s="16"/>
      <c r="F104" s="16"/>
      <c r="G104" s="16"/>
      <c r="H104" s="16"/>
    </row>
    <row r="105" spans="1:8">
      <c r="A105" s="16"/>
      <c r="B105" s="16"/>
      <c r="C105" s="16"/>
      <c r="D105" s="16"/>
      <c r="E105" s="16"/>
      <c r="F105" s="16"/>
      <c r="G105" s="16"/>
      <c r="H105" s="16"/>
    </row>
    <row r="106" spans="1:8">
      <c r="A106" s="16"/>
      <c r="B106" s="16"/>
      <c r="C106" s="16"/>
      <c r="D106" s="16"/>
      <c r="E106" s="16"/>
      <c r="F106" s="16"/>
      <c r="G106" s="16"/>
      <c r="H106" s="16"/>
    </row>
    <row r="107" spans="1:8">
      <c r="A107" s="16"/>
      <c r="B107" s="16"/>
      <c r="C107" s="16"/>
      <c r="D107" s="16"/>
      <c r="E107" s="16"/>
      <c r="F107" s="16"/>
      <c r="G107" s="16"/>
      <c r="H107" s="16"/>
    </row>
    <row r="108" spans="1:8">
      <c r="A108" s="16"/>
      <c r="B108" s="16"/>
      <c r="C108" s="16"/>
      <c r="D108" s="16"/>
      <c r="E108" s="16"/>
      <c r="F108" s="16"/>
      <c r="G108" s="16"/>
      <c r="H108" s="16"/>
    </row>
    <row r="109" spans="1:8">
      <c r="A109" s="16"/>
      <c r="B109" s="16"/>
      <c r="C109" s="16"/>
      <c r="D109" s="16"/>
      <c r="E109" s="16"/>
      <c r="F109" s="16"/>
      <c r="G109" s="16"/>
      <c r="H109" s="16"/>
    </row>
    <row r="110" spans="1:8">
      <c r="A110" s="16"/>
      <c r="B110" s="16"/>
      <c r="C110" s="16"/>
      <c r="D110" s="16"/>
      <c r="E110" s="16"/>
      <c r="F110" s="16"/>
      <c r="G110" s="16"/>
      <c r="H110" s="16"/>
    </row>
    <row r="111" spans="1:8">
      <c r="A111" s="16"/>
      <c r="B111" s="16"/>
      <c r="C111" s="16"/>
      <c r="D111" s="16"/>
      <c r="E111" s="16"/>
      <c r="F111" s="16"/>
      <c r="G111" s="16"/>
      <c r="H111" s="16"/>
    </row>
    <row r="112" spans="1:8">
      <c r="A112" s="16"/>
      <c r="B112" s="16"/>
      <c r="C112" s="16"/>
      <c r="D112" s="16"/>
      <c r="E112" s="16"/>
      <c r="F112" s="16"/>
      <c r="G112" s="16"/>
      <c r="H112" s="16"/>
    </row>
    <row r="113" spans="1:8">
      <c r="A113" s="16"/>
      <c r="B113" s="16"/>
      <c r="C113" s="16"/>
      <c r="D113" s="16"/>
      <c r="E113" s="16"/>
      <c r="F113" s="16"/>
      <c r="G113" s="16"/>
      <c r="H113" s="16"/>
    </row>
    <row r="114" spans="1:8">
      <c r="A114" s="16"/>
      <c r="B114" s="16"/>
      <c r="C114" s="16"/>
      <c r="D114" s="16"/>
      <c r="E114" s="16"/>
      <c r="F114" s="16"/>
      <c r="G114" s="16"/>
      <c r="H114" s="16"/>
    </row>
    <row r="115" spans="1:8">
      <c r="A115" s="16"/>
      <c r="B115" s="16"/>
      <c r="C115" s="16"/>
      <c r="D115" s="16"/>
      <c r="E115" s="16"/>
      <c r="F115" s="16"/>
      <c r="G115" s="16"/>
      <c r="H115" s="16"/>
    </row>
    <row r="116" spans="1:8">
      <c r="A116" s="16"/>
      <c r="B116" s="16"/>
      <c r="C116" s="16"/>
      <c r="D116" s="16"/>
      <c r="E116" s="16"/>
      <c r="F116" s="16"/>
      <c r="G116" s="16"/>
      <c r="H116" s="16"/>
    </row>
    <row r="117" spans="1:8">
      <c r="A117" s="16"/>
      <c r="B117" s="16"/>
      <c r="C117" s="16"/>
      <c r="D117" s="16"/>
      <c r="E117" s="16"/>
      <c r="F117" s="16"/>
      <c r="G117" s="16"/>
      <c r="H117" s="16"/>
    </row>
    <row r="118" spans="1:8">
      <c r="A118" s="16"/>
      <c r="B118" s="16"/>
      <c r="C118" s="16"/>
      <c r="D118" s="16"/>
      <c r="E118" s="16"/>
      <c r="F118" s="16"/>
      <c r="G118" s="16"/>
      <c r="H118" s="16"/>
    </row>
    <row r="119" spans="1:8">
      <c r="A119" s="16"/>
      <c r="B119" s="16"/>
      <c r="C119" s="16"/>
      <c r="D119" s="16"/>
      <c r="E119" s="16"/>
      <c r="F119" s="16"/>
      <c r="G119" s="16"/>
      <c r="H119" s="16"/>
    </row>
    <row r="120" spans="1:8">
      <c r="A120" s="16"/>
      <c r="B120" s="16"/>
      <c r="C120" s="16"/>
      <c r="D120" s="16"/>
      <c r="E120" s="16"/>
      <c r="F120" s="16"/>
      <c r="G120" s="16"/>
      <c r="H120" s="16"/>
    </row>
    <row r="121" spans="1:8">
      <c r="A121" s="16"/>
      <c r="B121" s="16"/>
      <c r="C121" s="16"/>
      <c r="D121" s="16"/>
      <c r="E121" s="16"/>
      <c r="F121" s="16"/>
      <c r="G121" s="16"/>
      <c r="H121" s="16"/>
    </row>
    <row r="122" spans="1:8">
      <c r="A122" s="16"/>
      <c r="B122" s="16"/>
      <c r="C122" s="16"/>
      <c r="D122" s="16"/>
      <c r="E122" s="16"/>
      <c r="F122" s="16"/>
      <c r="G122" s="16"/>
      <c r="H122" s="16"/>
    </row>
    <row r="123" spans="1:8">
      <c r="A123" s="16"/>
      <c r="B123" s="16"/>
      <c r="C123" s="16"/>
      <c r="D123" s="16"/>
      <c r="E123" s="16"/>
      <c r="F123" s="16"/>
      <c r="G123" s="16"/>
      <c r="H123" s="16"/>
    </row>
    <row r="124" spans="1:8">
      <c r="A124" s="16"/>
      <c r="B124" s="16"/>
      <c r="C124" s="16"/>
      <c r="D124" s="16"/>
      <c r="E124" s="16"/>
      <c r="F124" s="16"/>
      <c r="G124" s="16"/>
      <c r="H124" s="16"/>
    </row>
    <row r="125" spans="1:8">
      <c r="A125" s="16"/>
      <c r="B125" s="16"/>
      <c r="C125" s="16"/>
      <c r="D125" s="16"/>
      <c r="E125" s="16"/>
      <c r="F125" s="16"/>
      <c r="G125" s="16"/>
      <c r="H125" s="16"/>
    </row>
    <row r="126" spans="1:8">
      <c r="A126" s="16"/>
      <c r="B126" s="16"/>
      <c r="C126" s="16"/>
      <c r="D126" s="16"/>
      <c r="E126" s="16"/>
      <c r="F126" s="16"/>
      <c r="G126" s="16"/>
      <c r="H126" s="16"/>
    </row>
    <row r="127" spans="1:8">
      <c r="A127" s="16"/>
      <c r="B127" s="16"/>
      <c r="C127" s="16"/>
      <c r="D127" s="16"/>
      <c r="E127" s="16"/>
      <c r="F127" s="16"/>
      <c r="G127" s="16"/>
      <c r="H127" s="16"/>
    </row>
    <row r="128" spans="1:8">
      <c r="A128" s="16"/>
      <c r="B128" s="16"/>
      <c r="C128" s="16"/>
      <c r="D128" s="16"/>
      <c r="E128" s="16"/>
      <c r="F128" s="16"/>
      <c r="G128" s="16"/>
      <c r="H128" s="16"/>
    </row>
    <row r="129" spans="1:8">
      <c r="A129" s="16"/>
      <c r="B129" s="16"/>
      <c r="C129" s="16"/>
      <c r="D129" s="16"/>
      <c r="E129" s="16"/>
      <c r="F129" s="16"/>
      <c r="G129" s="16"/>
      <c r="H129" s="16"/>
    </row>
    <row r="130" spans="1:8">
      <c r="A130" s="16"/>
      <c r="B130" s="16"/>
      <c r="C130" s="16"/>
      <c r="D130" s="16"/>
      <c r="E130" s="16"/>
      <c r="F130" s="16"/>
      <c r="G130" s="16"/>
      <c r="H130" s="16"/>
    </row>
    <row r="131" spans="1:8">
      <c r="A131" s="16"/>
      <c r="B131" s="16"/>
      <c r="C131" s="16"/>
      <c r="D131" s="16"/>
      <c r="E131" s="16"/>
      <c r="F131" s="16"/>
      <c r="G131" s="16"/>
      <c r="H131" s="16"/>
    </row>
    <row r="132" spans="1:8">
      <c r="A132" s="16"/>
      <c r="B132" s="16"/>
      <c r="C132" s="16"/>
      <c r="D132" s="16"/>
      <c r="E132" s="16"/>
      <c r="F132" s="16"/>
      <c r="G132" s="16"/>
      <c r="H132" s="16"/>
    </row>
    <row r="133" spans="1:8">
      <c r="A133" s="16"/>
      <c r="B133" s="16"/>
      <c r="C133" s="16"/>
      <c r="D133" s="16"/>
      <c r="E133" s="16"/>
      <c r="F133" s="16"/>
      <c r="G133" s="16"/>
      <c r="H133" s="16"/>
    </row>
    <row r="134" spans="1:8">
      <c r="A134" s="16"/>
      <c r="B134" s="16"/>
      <c r="C134" s="16"/>
      <c r="D134" s="16"/>
      <c r="E134" s="16"/>
      <c r="F134" s="16"/>
      <c r="G134" s="16"/>
      <c r="H134" s="16"/>
    </row>
    <row r="135" spans="1:8">
      <c r="A135" s="16"/>
      <c r="B135" s="16"/>
      <c r="C135" s="16"/>
      <c r="D135" s="16"/>
      <c r="E135" s="16"/>
      <c r="F135" s="16"/>
      <c r="G135" s="16"/>
      <c r="H135" s="16"/>
    </row>
    <row r="136" spans="1:8">
      <c r="A136" s="16"/>
      <c r="B136" s="16"/>
      <c r="C136" s="16"/>
      <c r="D136" s="16"/>
      <c r="E136" s="16"/>
      <c r="F136" s="16"/>
      <c r="G136" s="16"/>
      <c r="H136" s="16"/>
    </row>
    <row r="137" spans="1:8">
      <c r="A137" s="16"/>
      <c r="B137" s="16"/>
      <c r="C137" s="16"/>
      <c r="D137" s="16"/>
      <c r="E137" s="16"/>
      <c r="F137" s="16"/>
      <c r="G137" s="16"/>
      <c r="H137" s="16"/>
    </row>
    <row r="138" spans="1:8">
      <c r="A138" s="16"/>
      <c r="B138" s="16"/>
      <c r="C138" s="16"/>
      <c r="D138" s="16"/>
      <c r="E138" s="16"/>
      <c r="F138" s="16"/>
      <c r="G138" s="16"/>
      <c r="H138" s="16"/>
    </row>
    <row r="139" spans="1:8">
      <c r="A139" s="16"/>
      <c r="B139" s="16"/>
      <c r="C139" s="16"/>
      <c r="D139" s="16"/>
      <c r="E139" s="16"/>
      <c r="F139" s="16"/>
      <c r="G139" s="16"/>
      <c r="H139" s="16"/>
    </row>
    <row r="140" spans="1:8">
      <c r="A140" s="16"/>
      <c r="B140" s="16"/>
      <c r="C140" s="16"/>
      <c r="D140" s="16"/>
      <c r="E140" s="16"/>
      <c r="F140" s="16"/>
      <c r="G140" s="16"/>
      <c r="H140" s="16"/>
    </row>
    <row r="141" spans="1:8">
      <c r="A141" s="16"/>
      <c r="B141" s="16"/>
      <c r="C141" s="16"/>
      <c r="D141" s="16"/>
      <c r="E141" s="16"/>
      <c r="F141" s="16"/>
      <c r="G141" s="16"/>
      <c r="H141" s="16"/>
    </row>
    <row r="142" spans="1:8">
      <c r="A142" s="16"/>
      <c r="B142" s="16"/>
      <c r="C142" s="16"/>
      <c r="D142" s="16"/>
      <c r="E142" s="16"/>
      <c r="F142" s="16"/>
      <c r="G142" s="16"/>
      <c r="H142" s="16"/>
    </row>
    <row r="143" spans="1:8">
      <c r="A143" s="16"/>
      <c r="B143" s="16"/>
      <c r="C143" s="16"/>
      <c r="D143" s="16"/>
      <c r="E143" s="16"/>
      <c r="F143" s="16"/>
      <c r="G143" s="16"/>
      <c r="H143" s="16"/>
    </row>
    <row r="144" spans="1:8">
      <c r="A144" s="16"/>
      <c r="B144" s="16"/>
      <c r="C144" s="16"/>
      <c r="D144" s="16"/>
      <c r="E144" s="16"/>
      <c r="F144" s="16"/>
      <c r="G144" s="16"/>
      <c r="H144" s="16"/>
    </row>
    <row r="145" spans="1:8">
      <c r="A145" s="16"/>
      <c r="B145" s="16"/>
      <c r="C145" s="16"/>
      <c r="D145" s="16"/>
      <c r="E145" s="16"/>
      <c r="F145" s="16"/>
      <c r="G145" s="16"/>
      <c r="H145" s="16"/>
    </row>
    <row r="146" spans="1:8">
      <c r="A146" s="16"/>
      <c r="B146" s="16"/>
      <c r="C146" s="16"/>
      <c r="D146" s="16"/>
      <c r="E146" s="16"/>
      <c r="F146" s="16"/>
      <c r="G146" s="16"/>
      <c r="H146" s="16"/>
    </row>
    <row r="147" spans="1:8">
      <c r="A147" s="16"/>
      <c r="B147" s="16"/>
      <c r="C147" s="16"/>
      <c r="D147" s="16"/>
      <c r="E147" s="16"/>
      <c r="F147" s="16"/>
      <c r="G147" s="16"/>
      <c r="H147" s="16"/>
    </row>
    <row r="148" spans="1:8">
      <c r="A148" s="16"/>
      <c r="B148" s="16"/>
      <c r="C148" s="16"/>
      <c r="D148" s="16"/>
      <c r="E148" s="16"/>
      <c r="F148" s="16"/>
      <c r="G148" s="16"/>
      <c r="H148" s="16"/>
    </row>
    <row r="149" spans="1:8">
      <c r="A149" s="16"/>
      <c r="B149" s="16"/>
      <c r="C149" s="16"/>
      <c r="D149" s="16"/>
      <c r="E149" s="16"/>
      <c r="F149" s="16"/>
      <c r="G149" s="16"/>
      <c r="H149" s="16"/>
    </row>
    <row r="150" spans="1:8">
      <c r="A150" s="16"/>
      <c r="B150" s="16"/>
      <c r="C150" s="16"/>
      <c r="D150" s="16"/>
      <c r="E150" s="16"/>
      <c r="F150" s="16"/>
      <c r="G150" s="16"/>
      <c r="H150" s="16"/>
    </row>
    <row r="151" spans="1:8">
      <c r="A151" s="16"/>
      <c r="B151" s="16"/>
      <c r="C151" s="16"/>
      <c r="D151" s="16"/>
      <c r="E151" s="16"/>
      <c r="F151" s="16"/>
      <c r="G151" s="16"/>
      <c r="H151" s="16"/>
    </row>
    <row r="152" spans="1:8">
      <c r="A152" s="16"/>
      <c r="B152" s="16"/>
      <c r="C152" s="16"/>
      <c r="D152" s="16"/>
      <c r="E152" s="16"/>
      <c r="F152" s="16"/>
      <c r="G152" s="16"/>
      <c r="H152" s="16"/>
    </row>
    <row r="153" spans="1:8">
      <c r="A153" s="16"/>
      <c r="B153" s="16"/>
      <c r="C153" s="16"/>
      <c r="D153" s="16"/>
      <c r="E153" s="16"/>
      <c r="F153" s="16"/>
      <c r="G153" s="16"/>
      <c r="H153" s="16"/>
    </row>
    <row r="154" spans="1:8">
      <c r="A154" s="16"/>
      <c r="B154" s="16"/>
      <c r="C154" s="16"/>
      <c r="D154" s="16"/>
      <c r="E154" s="16"/>
      <c r="F154" s="16"/>
      <c r="G154" s="16"/>
      <c r="H154" s="16"/>
    </row>
    <row r="155" spans="1:8">
      <c r="A155" s="16"/>
      <c r="B155" s="16"/>
      <c r="C155" s="16"/>
      <c r="D155" s="16"/>
      <c r="E155" s="16"/>
      <c r="F155" s="16"/>
      <c r="G155" s="16"/>
      <c r="H155" s="16"/>
    </row>
    <row r="156" spans="1:8">
      <c r="A156" s="16"/>
      <c r="B156" s="16"/>
      <c r="C156" s="16"/>
      <c r="D156" s="16"/>
      <c r="E156" s="16"/>
      <c r="F156" s="16"/>
      <c r="G156" s="16"/>
      <c r="H156" s="16"/>
    </row>
    <row r="157" spans="1:8">
      <c r="A157" s="16"/>
      <c r="B157" s="16"/>
      <c r="C157" s="16"/>
      <c r="D157" s="16"/>
      <c r="E157" s="16"/>
      <c r="F157" s="16"/>
      <c r="G157" s="16"/>
      <c r="H157" s="16"/>
    </row>
    <row r="158" spans="1:8">
      <c r="A158" s="16"/>
      <c r="B158" s="16"/>
      <c r="C158" s="16"/>
      <c r="D158" s="16"/>
      <c r="E158" s="16"/>
      <c r="F158" s="16"/>
      <c r="G158" s="16"/>
      <c r="H158" s="16"/>
    </row>
    <row r="159" spans="1:8">
      <c r="A159" s="16"/>
      <c r="B159" s="16"/>
      <c r="C159" s="16"/>
      <c r="D159" s="16"/>
      <c r="E159" s="16"/>
      <c r="F159" s="16"/>
      <c r="G159" s="16"/>
      <c r="H159" s="16"/>
    </row>
    <row r="160" spans="1:8">
      <c r="A160" s="16"/>
      <c r="B160" s="16"/>
      <c r="C160" s="16"/>
      <c r="D160" s="16"/>
      <c r="E160" s="16"/>
      <c r="F160" s="16"/>
      <c r="G160" s="16"/>
      <c r="H160" s="16"/>
    </row>
    <row r="161" spans="1:8">
      <c r="A161" s="16"/>
      <c r="B161" s="16"/>
      <c r="C161" s="16"/>
      <c r="D161" s="16"/>
      <c r="E161" s="16"/>
      <c r="F161" s="16"/>
      <c r="G161" s="16"/>
      <c r="H161" s="16"/>
    </row>
    <row r="162" spans="1:8">
      <c r="A162" s="16"/>
      <c r="B162" s="16"/>
      <c r="C162" s="16"/>
      <c r="D162" s="16"/>
      <c r="E162" s="16"/>
      <c r="F162" s="16"/>
      <c r="G162" s="16"/>
      <c r="H162" s="16"/>
    </row>
    <row r="163" spans="1:8">
      <c r="A163" s="16"/>
      <c r="B163" s="16"/>
      <c r="C163" s="16"/>
      <c r="D163" s="16"/>
      <c r="E163" s="16"/>
      <c r="F163" s="16"/>
      <c r="G163" s="16"/>
      <c r="H163" s="16"/>
    </row>
    <row r="164" spans="1:8">
      <c r="A164" s="16"/>
      <c r="B164" s="16"/>
      <c r="C164" s="16"/>
      <c r="D164" s="16"/>
      <c r="E164" s="16"/>
      <c r="F164" s="16"/>
      <c r="G164" s="16"/>
      <c r="H164" s="16"/>
    </row>
    <row r="165" spans="1:8">
      <c r="A165" s="16"/>
      <c r="B165" s="16"/>
      <c r="C165" s="16"/>
      <c r="D165" s="16"/>
      <c r="E165" s="16"/>
      <c r="F165" s="16"/>
      <c r="G165" s="16"/>
      <c r="H165" s="16"/>
    </row>
    <row r="166" spans="1:8">
      <c r="A166" s="16"/>
      <c r="B166" s="16"/>
      <c r="C166" s="16"/>
      <c r="D166" s="16"/>
      <c r="E166" s="16"/>
      <c r="F166" s="16"/>
      <c r="G166" s="16"/>
      <c r="H166" s="16"/>
    </row>
    <row r="167" spans="1:8">
      <c r="A167" s="16"/>
      <c r="B167" s="16"/>
      <c r="C167" s="16"/>
      <c r="D167" s="16"/>
      <c r="E167" s="16"/>
      <c r="F167" s="16"/>
      <c r="G167" s="16"/>
      <c r="H167" s="16"/>
    </row>
    <row r="168" spans="1:8">
      <c r="A168" s="16"/>
      <c r="B168" s="16"/>
      <c r="C168" s="16"/>
      <c r="D168" s="16"/>
      <c r="E168" s="16"/>
      <c r="F168" s="16"/>
      <c r="G168" s="16"/>
      <c r="H168" s="16"/>
    </row>
    <row r="169" spans="1:8">
      <c r="A169" s="16"/>
      <c r="B169" s="16"/>
      <c r="C169" s="16"/>
      <c r="D169" s="16"/>
      <c r="E169" s="16"/>
      <c r="F169" s="16"/>
      <c r="G169" s="16"/>
      <c r="H169" s="16"/>
    </row>
    <row r="170" spans="1:8">
      <c r="A170" s="16"/>
      <c r="B170" s="16"/>
      <c r="C170" s="16"/>
      <c r="D170" s="16"/>
      <c r="E170" s="16"/>
      <c r="F170" s="16"/>
      <c r="G170" s="16"/>
      <c r="H170" s="16"/>
    </row>
    <row r="171" spans="1:8">
      <c r="A171" s="16"/>
      <c r="B171" s="16"/>
      <c r="C171" s="16"/>
      <c r="D171" s="16"/>
      <c r="E171" s="16"/>
      <c r="F171" s="16"/>
      <c r="G171" s="16"/>
      <c r="H171" s="16"/>
    </row>
    <row r="172" spans="1:8">
      <c r="A172" s="16"/>
      <c r="B172" s="16"/>
      <c r="C172" s="16"/>
      <c r="D172" s="16"/>
      <c r="E172" s="16"/>
      <c r="F172" s="16"/>
      <c r="G172" s="16"/>
      <c r="H172" s="16"/>
    </row>
    <row r="173" spans="1:8">
      <c r="A173" s="16"/>
      <c r="B173" s="16"/>
      <c r="C173" s="16"/>
      <c r="D173" s="16"/>
      <c r="E173" s="16"/>
      <c r="F173" s="16"/>
      <c r="G173" s="16"/>
      <c r="H173" s="16"/>
    </row>
    <row r="174" spans="1:8">
      <c r="A174" s="16"/>
      <c r="B174" s="16"/>
      <c r="C174" s="16"/>
      <c r="D174" s="16"/>
      <c r="E174" s="16"/>
      <c r="F174" s="16"/>
      <c r="G174" s="16"/>
      <c r="H174" s="16"/>
    </row>
    <row r="175" spans="1:8">
      <c r="A175" s="16"/>
      <c r="B175" s="16"/>
      <c r="C175" s="16"/>
      <c r="D175" s="16"/>
      <c r="E175" s="16"/>
      <c r="F175" s="16"/>
      <c r="G175" s="16"/>
      <c r="H175" s="16"/>
    </row>
    <row r="176" spans="1:8">
      <c r="A176" s="16"/>
      <c r="B176" s="16"/>
      <c r="C176" s="16"/>
      <c r="D176" s="16"/>
      <c r="E176" s="16"/>
      <c r="F176" s="16"/>
      <c r="G176" s="16"/>
      <c r="H176" s="16"/>
    </row>
    <row r="177" spans="1:8">
      <c r="A177" s="16"/>
      <c r="B177" s="16"/>
      <c r="C177" s="16"/>
      <c r="D177" s="16"/>
      <c r="E177" s="16"/>
      <c r="F177" s="16"/>
      <c r="G177" s="16"/>
      <c r="H177" s="16"/>
    </row>
    <row r="178" spans="1:8">
      <c r="A178" s="16"/>
      <c r="B178" s="16"/>
      <c r="C178" s="16"/>
      <c r="D178" s="16"/>
      <c r="E178" s="16"/>
      <c r="F178" s="16"/>
      <c r="G178" s="16"/>
      <c r="H178" s="16"/>
    </row>
    <row r="179" spans="1:8">
      <c r="A179" s="16"/>
      <c r="B179" s="16"/>
      <c r="C179" s="16"/>
      <c r="D179" s="16"/>
      <c r="E179" s="16"/>
      <c r="F179" s="16"/>
      <c r="G179" s="16"/>
      <c r="H179" s="16"/>
    </row>
    <row r="180" spans="1:8">
      <c r="A180" s="16"/>
      <c r="B180" s="16"/>
      <c r="C180" s="16"/>
      <c r="D180" s="16"/>
      <c r="E180" s="16"/>
      <c r="F180" s="16"/>
      <c r="G180" s="16"/>
      <c r="H180" s="16"/>
    </row>
    <row r="181" spans="1:8">
      <c r="A181" s="16"/>
      <c r="B181" s="16"/>
      <c r="C181" s="16"/>
      <c r="D181" s="16"/>
      <c r="E181" s="16"/>
      <c r="F181" s="16"/>
      <c r="G181" s="16"/>
      <c r="H181" s="16"/>
    </row>
    <row r="182" spans="1:8">
      <c r="A182" s="16"/>
      <c r="B182" s="16"/>
      <c r="C182" s="16"/>
      <c r="D182" s="16"/>
      <c r="E182" s="16"/>
      <c r="F182" s="16"/>
      <c r="G182" s="16"/>
      <c r="H182" s="16"/>
    </row>
    <row r="183" spans="1:8">
      <c r="A183" s="16"/>
      <c r="B183" s="16"/>
      <c r="C183" s="16"/>
      <c r="D183" s="16"/>
      <c r="E183" s="16"/>
      <c r="F183" s="16"/>
      <c r="G183" s="16"/>
      <c r="H183" s="16"/>
    </row>
    <row r="184" spans="1:8">
      <c r="A184" s="16"/>
      <c r="B184" s="16"/>
      <c r="C184" s="16"/>
      <c r="D184" s="16"/>
      <c r="E184" s="16"/>
      <c r="F184" s="16"/>
      <c r="G184" s="16"/>
      <c r="H184" s="16"/>
    </row>
    <row r="185" spans="1:8">
      <c r="A185" s="16"/>
      <c r="B185" s="16"/>
      <c r="C185" s="16"/>
      <c r="D185" s="16"/>
      <c r="E185" s="16"/>
      <c r="F185" s="16"/>
      <c r="G185" s="16"/>
      <c r="H185" s="16"/>
    </row>
    <row r="186" spans="1:8">
      <c r="A186" s="16"/>
      <c r="B186" s="16"/>
      <c r="C186" s="16"/>
      <c r="D186" s="16"/>
      <c r="E186" s="16"/>
      <c r="F186" s="16"/>
      <c r="G186" s="16"/>
      <c r="H186" s="16"/>
    </row>
    <row r="187" spans="1:8">
      <c r="A187" s="16"/>
      <c r="B187" s="16"/>
      <c r="C187" s="16"/>
      <c r="D187" s="16"/>
      <c r="E187" s="16"/>
      <c r="F187" s="16"/>
      <c r="G187" s="16"/>
      <c r="H187" s="16"/>
    </row>
    <row r="188" spans="1:8">
      <c r="A188" s="16"/>
      <c r="B188" s="16"/>
      <c r="C188" s="16"/>
      <c r="D188" s="16"/>
      <c r="E188" s="16"/>
      <c r="F188" s="16"/>
      <c r="G188" s="16"/>
      <c r="H188" s="16"/>
    </row>
    <row r="189" spans="1:8">
      <c r="A189" s="16"/>
      <c r="B189" s="16"/>
      <c r="C189" s="16"/>
      <c r="D189" s="16"/>
      <c r="E189" s="16"/>
      <c r="F189" s="16"/>
      <c r="G189" s="16"/>
      <c r="H189" s="16"/>
    </row>
    <row r="190" spans="1:8">
      <c r="A190" s="16"/>
      <c r="B190" s="16"/>
      <c r="C190" s="16"/>
      <c r="D190" s="16"/>
      <c r="E190" s="16"/>
      <c r="F190" s="16"/>
      <c r="G190" s="16"/>
      <c r="H190" s="16"/>
    </row>
    <row r="191" spans="1:8">
      <c r="A191" s="16"/>
      <c r="B191" s="16"/>
      <c r="C191" s="16"/>
      <c r="D191" s="16"/>
      <c r="E191" s="16"/>
      <c r="F191" s="16"/>
      <c r="G191" s="16"/>
      <c r="H191" s="16"/>
    </row>
    <row r="192" spans="1:8">
      <c r="A192" s="16"/>
      <c r="B192" s="16"/>
      <c r="C192" s="16"/>
      <c r="D192" s="16"/>
      <c r="E192" s="16"/>
      <c r="F192" s="16"/>
      <c r="G192" s="16"/>
      <c r="H192" s="16"/>
    </row>
    <row r="193" spans="1:8">
      <c r="A193" s="16"/>
      <c r="B193" s="16"/>
      <c r="C193" s="16"/>
      <c r="D193" s="16"/>
      <c r="E193" s="16"/>
      <c r="F193" s="16"/>
      <c r="G193" s="16"/>
      <c r="H193" s="16"/>
    </row>
    <row r="194" spans="1:8">
      <c r="A194" s="16"/>
      <c r="B194" s="16"/>
      <c r="C194" s="16"/>
      <c r="D194" s="16"/>
      <c r="E194" s="16"/>
      <c r="F194" s="16"/>
      <c r="G194" s="16"/>
      <c r="H194" s="16"/>
    </row>
    <row r="195" spans="1:8">
      <c r="A195" s="16"/>
      <c r="B195" s="16"/>
      <c r="C195" s="16"/>
      <c r="D195" s="16"/>
      <c r="E195" s="16"/>
      <c r="F195" s="16"/>
      <c r="G195" s="16"/>
      <c r="H195" s="16"/>
    </row>
    <row r="196" spans="1:8">
      <c r="A196" s="16"/>
      <c r="B196" s="16"/>
      <c r="C196" s="16"/>
      <c r="D196" s="16"/>
      <c r="E196" s="16"/>
      <c r="F196" s="16"/>
      <c r="G196" s="16"/>
      <c r="H196" s="16"/>
    </row>
    <row r="197" spans="1:8">
      <c r="A197" s="16"/>
      <c r="B197" s="16"/>
      <c r="C197" s="16"/>
      <c r="D197" s="16"/>
      <c r="E197" s="16"/>
      <c r="F197" s="16"/>
      <c r="G197" s="16"/>
      <c r="H197" s="16"/>
    </row>
    <row r="198" spans="1:8">
      <c r="A198" s="16"/>
      <c r="B198" s="16"/>
      <c r="C198" s="16"/>
      <c r="D198" s="16"/>
      <c r="E198" s="16"/>
      <c r="F198" s="16"/>
      <c r="G198" s="16"/>
      <c r="H198" s="16"/>
    </row>
    <row r="199" spans="1:8">
      <c r="A199" s="16"/>
      <c r="B199" s="16"/>
      <c r="C199" s="16"/>
      <c r="D199" s="16"/>
      <c r="E199" s="16"/>
      <c r="F199" s="16"/>
      <c r="G199" s="16"/>
      <c r="H199" s="16"/>
    </row>
    <row r="200" spans="1:8">
      <c r="A200" s="16"/>
      <c r="B200" s="16"/>
      <c r="C200" s="16"/>
      <c r="D200" s="16"/>
      <c r="E200" s="16"/>
      <c r="F200" s="16"/>
      <c r="G200" s="16"/>
      <c r="H200" s="16"/>
    </row>
  </sheetData>
  <sheetProtection password="8CD6" sheet="1"/>
  <mergeCells count="1">
    <mergeCell ref="A3:I3"/>
  </mergeCells>
  <conditionalFormatting sqref="I6:I200">
    <cfRule type="expression" dxfId="11" priority="2">
      <formula>$I6&lt;&gt;"Pendiente"</formula>
    </cfRule>
    <cfRule type="cellIs" dxfId="10" priority="3" operator="equal">
      <formula>"Pendiente"</formula>
    </cfRule>
  </conditionalFormatting>
  <conditionalFormatting sqref="C6:C200">
    <cfRule type="cellIs" dxfId="9" priority="4" operator="equal">
      <formula>"Final"</formula>
    </cfRule>
    <cfRule type="cellIs" dxfId="8" priority="5" operator="equal">
      <formula>"Semifinal"</formula>
    </cfRule>
  </conditionalFormatting>
  <dataValidations count="4">
    <dataValidation type="list" allowBlank="1" sqref="E6:F200" xr:uid="{00000000-0002-0000-0200-000000000000}">
      <formula1>ListaEquipos</formula1>
      <formula2>0</formula2>
    </dataValidation>
    <dataValidation type="list" allowBlank="1" sqref="C6:C200" xr:uid="{00000000-0002-0000-0200-000002000000}">
      <formula1>ListaFases</formula1>
      <formula2>0</formula2>
    </dataValidation>
    <dataValidation type="list" allowBlank="1" sqref="D6:D200" xr:uid="{00000000-0002-0000-0200-000003000000}">
      <formula1>ListaGrupos</formula1>
      <formula2>0</formula2>
    </dataValidation>
    <dataValidation type="whole" allowBlank="1" errorTitle="Valor inválido" error="Ingrese un número entero entre 0 y 30" sqref="G6:H200" xr:uid="{00000000-0002-0000-0200-000004000000}">
      <formula1>0</formula1>
      <formula2>30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0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12" customWidth="1"/>
    <col min="2" max="2" width="14" customWidth="1"/>
    <col min="3" max="3" width="22" customWidth="1"/>
    <col min="4" max="4" width="12" customWidth="1"/>
    <col min="5" max="5" width="18" customWidth="1"/>
    <col min="6" max="6" width="26" customWidth="1"/>
    <col min="7" max="8" width="14" customWidth="1"/>
    <col min="9" max="9" width="16" customWidth="1"/>
    <col min="10" max="10" width="14" customWidth="1"/>
  </cols>
  <sheetData>
    <row r="1" spans="1:10" ht="25.5" customHeight="1">
      <c r="A1" s="1" t="str">
        <f>HYPERLINK("#'Dashboard'!A1","🏠 INICIO")</f>
        <v>🏠 INICIO</v>
      </c>
      <c r="B1" s="1" t="str">
        <f>HYPERLINK("#'Participantes'!A1","👥 PARTICIPANTES")</f>
        <v>👥 PARTICIPANTES</v>
      </c>
      <c r="C1" s="1" t="str">
        <f>HYPERLINK("#'Partidos'!A1","⚽ PARTIDOS")</f>
        <v>⚽ PARTIDOS</v>
      </c>
      <c r="D1" s="1" t="str">
        <f>HYPERLINK("#'Apuestas'!A1","🎯 APUESTAS")</f>
        <v>🎯 APUESTAS</v>
      </c>
      <c r="E1" s="1" t="str">
        <f>HYPERLINK("#'Resultados'!A1","📊 RESULTADOS")</f>
        <v>📊 RESULTADOS</v>
      </c>
      <c r="F1" s="1" t="str">
        <f>HYPERLINK("#'Ranking'!A1","🏆 RANKING")</f>
        <v>🏆 RANKING</v>
      </c>
      <c r="G1" s="1" t="str">
        <f>HYPERLINK("#'Informes'!A1","📈 INFORMES")</f>
        <v>📈 INFORMES</v>
      </c>
    </row>
    <row r="3" spans="1:10" ht="31.5" customHeight="1">
      <c r="A3" s="54" t="s">
        <v>156</v>
      </c>
      <c r="B3" s="54"/>
      <c r="C3" s="54"/>
      <c r="D3" s="54"/>
      <c r="E3" s="54"/>
      <c r="F3" s="54"/>
      <c r="G3" s="54"/>
      <c r="H3" s="54"/>
      <c r="I3" s="54"/>
      <c r="J3" s="54"/>
    </row>
    <row r="4" spans="1:10">
      <c r="A4" s="60" t="s">
        <v>157</v>
      </c>
      <c r="B4" s="60"/>
      <c r="C4" s="60"/>
      <c r="D4" s="60"/>
      <c r="E4" s="60"/>
      <c r="F4" s="60"/>
      <c r="G4" s="60"/>
      <c r="H4" s="60"/>
      <c r="I4" s="60"/>
      <c r="J4" s="60"/>
    </row>
    <row r="5" spans="1:10" ht="36" customHeight="1">
      <c r="A5" s="19" t="s">
        <v>158</v>
      </c>
      <c r="B5" s="19" t="s">
        <v>159</v>
      </c>
      <c r="C5" s="19" t="s">
        <v>160</v>
      </c>
      <c r="D5" s="19" t="s">
        <v>88</v>
      </c>
      <c r="E5" s="19" t="s">
        <v>90</v>
      </c>
      <c r="F5" s="19" t="s">
        <v>161</v>
      </c>
      <c r="G5" s="19" t="s">
        <v>162</v>
      </c>
      <c r="H5" s="19" t="s">
        <v>163</v>
      </c>
      <c r="I5" s="19" t="s">
        <v>164</v>
      </c>
      <c r="J5" s="19" t="s">
        <v>165</v>
      </c>
    </row>
    <row r="6" spans="1:10">
      <c r="A6" s="13" t="s">
        <v>166</v>
      </c>
      <c r="B6" s="13" t="s">
        <v>38</v>
      </c>
      <c r="C6" s="20" t="str">
        <f>IFERROR(VLOOKUP(B6,Participantes!$A$6:$B$200,2,FALSE()),"")</f>
        <v>Juan Pérez</v>
      </c>
      <c r="D6" s="13" t="s">
        <v>97</v>
      </c>
      <c r="E6" s="20" t="str">
        <f>IFERROR(VLOOKUP(D6,Partidos!$A$6:$C$200,3,FALSE()),"")</f>
        <v>Fase de Grupos</v>
      </c>
      <c r="F6" s="20" t="str">
        <f>IFERROR(VLOOKUP(D6,Partidos!$A$6:$F$200,5,FALSE())&amp;" vs "&amp;VLOOKUP(D6,Partidos!$A$6:$F$200,6,FALSE()),"")</f>
        <v>México vs Sudáfrica</v>
      </c>
      <c r="G6" s="13">
        <v>0</v>
      </c>
      <c r="H6" s="13">
        <v>1</v>
      </c>
      <c r="I6" s="20" t="str">
        <f>IF(OR(G6="",H6=""),"",IF(G6&gt;H6,"Gana Local",IF(G6&lt;H6,"Gana Visitante","Empate")))</f>
        <v>Gana Visitante</v>
      </c>
      <c r="J6" s="21">
        <f>IFERROR(IF(OR(G6="",H6="",VLOOKUP(D6,Partidos!$A$6:$H$200,7,FALSE())="",VLOOKUP(D6,Partidos!$A$6:$H$200,8,FALSE())=""),0,IF(AND(G6=VLOOKUP(D6,Partidos!$A$6:$H$200,7,FALSE()),H6=VLOOKUP(D6,Partidos!$A$6:$H$200,8,FALSE())),Config!$G$4,IF(AND(SIGN(G6-H6)=SIGN(VLOOKUP(D6,Partidos!$A$6:$H$200,7,FALSE())-VLOOKUP(D6,Partidos!$A$6:$H$200,8,FALSE())),(G6-H6)=(VLOOKUP(D6,Partidos!$A$6:$H$200,7,FALSE())-VLOOKUP(D6,Partidos!$A$6:$H$200,8,FALSE()))),Config!$G$5,IF(SIGN(G6-H6)=SIGN(VLOOKUP(D6,Partidos!$A$6:$H$200,7,FALSE())-VLOOKUP(D6,Partidos!$A$6:$H$200,8,FALSE())),Config!$G$6,Config!$G$7)))),0)</f>
        <v>0</v>
      </c>
    </row>
    <row r="7" spans="1:10">
      <c r="A7" s="13" t="s">
        <v>167</v>
      </c>
      <c r="B7" s="13" t="s">
        <v>38</v>
      </c>
      <c r="C7" s="20" t="str">
        <f>IFERROR(VLOOKUP(B7,Participantes!$A$6:$B$200,2,FALSE()),"")</f>
        <v>Juan Pérez</v>
      </c>
      <c r="D7" s="13" t="s">
        <v>102</v>
      </c>
      <c r="E7" s="20" t="str">
        <f>IFERROR(VLOOKUP(D7,Partidos!$A$6:$C$200,3,FALSE()),"")</f>
        <v>Fase de Grupos</v>
      </c>
      <c r="F7" s="20" t="str">
        <f>IFERROR(VLOOKUP(D7,Partidos!$A$6:$F$200,5,FALSE())&amp;" vs "&amp;VLOOKUP(D7,Partidos!$A$6:$F$200,6,FALSE()),"")</f>
        <v>Corea del Sur vs Chequia</v>
      </c>
      <c r="G7" s="13">
        <v>1</v>
      </c>
      <c r="H7" s="13">
        <v>2</v>
      </c>
      <c r="I7" s="20" t="str">
        <f>IF(OR(G7="",H7=""),"",IF(G7&gt;H7,"Gana Local",IF(G7&lt;H7,"Gana Visitante","Empate")))</f>
        <v>Gana Visitante</v>
      </c>
      <c r="J7" s="21">
        <f>IFERROR(IF(OR(G7="",H7="",VLOOKUP(D7,Partidos!$A$6:$H$200,7,FALSE())="",VLOOKUP(D7,Partidos!$A$6:$H$200,8,FALSE())=""),0,IF(AND(G7=VLOOKUP(D7,Partidos!$A$6:$H$200,7,FALSE()),H7=VLOOKUP(D7,Partidos!$A$6:$H$200,8,FALSE())),Config!$G$4,IF(AND(SIGN(G7-H7)=SIGN(VLOOKUP(D7,Partidos!$A$6:$H$200,7,FALSE())-VLOOKUP(D7,Partidos!$A$6:$H$200,8,FALSE())),(G7-H7)=(VLOOKUP(D7,Partidos!$A$6:$H$200,7,FALSE())-VLOOKUP(D7,Partidos!$A$6:$H$200,8,FALSE()))),Config!$G$5,IF(SIGN(G7-H7)=SIGN(VLOOKUP(D7,Partidos!$A$6:$H$200,7,FALSE())-VLOOKUP(D7,Partidos!$A$6:$H$200,8,FALSE())),Config!$G$6,Config!$G$7)))),0)</f>
        <v>0</v>
      </c>
    </row>
    <row r="8" spans="1:10">
      <c r="A8" s="13" t="s">
        <v>168</v>
      </c>
      <c r="B8" s="13" t="s">
        <v>38</v>
      </c>
      <c r="C8" s="20" t="str">
        <f>IFERROR(VLOOKUP(B8,Participantes!$A$6:$B$200,2,FALSE()),"")</f>
        <v>Juan Pérez</v>
      </c>
      <c r="D8" s="13" t="s">
        <v>104</v>
      </c>
      <c r="E8" s="20" t="str">
        <f>IFERROR(VLOOKUP(D8,Partidos!$A$6:$C$200,3,FALSE()),"")</f>
        <v>Fase de Grupos</v>
      </c>
      <c r="F8" s="20" t="str">
        <f>IFERROR(VLOOKUP(D8,Partidos!$A$6:$F$200,5,FALSE())&amp;" vs "&amp;VLOOKUP(D8,Partidos!$A$6:$F$200,6,FALSE()),"")</f>
        <v>Canadá vs Bosnia y Herzegovina</v>
      </c>
      <c r="G8" s="13">
        <v>3</v>
      </c>
      <c r="H8" s="13">
        <v>1</v>
      </c>
      <c r="I8" s="20" t="str">
        <f>IF(OR(G8="",H8=""),"",IF(G8&gt;H8,"Gana Local",IF(G8&lt;H8,"Gana Visitante","Empate")))</f>
        <v>Gana Local</v>
      </c>
      <c r="J8" s="21">
        <f>IFERROR(IF(OR(G8="",H8="",VLOOKUP(D8,Partidos!$A$6:$H$200,7,FALSE())="",VLOOKUP(D8,Partidos!$A$6:$H$200,8,FALSE())=""),0,IF(AND(G8=VLOOKUP(D8,Partidos!$A$6:$H$200,7,FALSE()),H8=VLOOKUP(D8,Partidos!$A$6:$H$200,8,FALSE())),Config!$G$4,IF(AND(SIGN(G8-H8)=SIGN(VLOOKUP(D8,Partidos!$A$6:$H$200,7,FALSE())-VLOOKUP(D8,Partidos!$A$6:$H$200,8,FALSE())),(G8-H8)=(VLOOKUP(D8,Partidos!$A$6:$H$200,7,FALSE())-VLOOKUP(D8,Partidos!$A$6:$H$200,8,FALSE()))),Config!$G$5,IF(SIGN(G8-H8)=SIGN(VLOOKUP(D8,Partidos!$A$6:$H$200,7,FALSE())-VLOOKUP(D8,Partidos!$A$6:$H$200,8,FALSE())),Config!$G$6,Config!$G$7)))),0)</f>
        <v>1</v>
      </c>
    </row>
    <row r="9" spans="1:10">
      <c r="A9" s="13" t="s">
        <v>169</v>
      </c>
      <c r="B9" s="13" t="s">
        <v>38</v>
      </c>
      <c r="C9" s="20" t="str">
        <f>IFERROR(VLOOKUP(B9,Participantes!$A$6:$B$200,2,FALSE()),"")</f>
        <v>Juan Pérez</v>
      </c>
      <c r="D9" s="13" t="s">
        <v>108</v>
      </c>
      <c r="E9" s="20" t="str">
        <f>IFERROR(VLOOKUP(D9,Partidos!$A$6:$C$200,3,FALSE()),"")</f>
        <v>Fase de Grupos</v>
      </c>
      <c r="F9" s="20" t="str">
        <f>IFERROR(VLOOKUP(D9,Partidos!$A$6:$F$200,5,FALSE())&amp;" vs "&amp;VLOOKUP(D9,Partidos!$A$6:$F$200,6,FALSE()),"")</f>
        <v>Estados Unidos vs Paraguay</v>
      </c>
      <c r="G9" s="13">
        <v>2</v>
      </c>
      <c r="H9" s="13">
        <v>0</v>
      </c>
      <c r="I9" s="20" t="str">
        <f>IF(OR(G9="",H9=""),"",IF(G9&gt;H9,"Gana Local",IF(G9&lt;H9,"Gana Visitante","Empate")))</f>
        <v>Gana Local</v>
      </c>
      <c r="J9" s="21">
        <f>IFERROR(IF(OR(G9="",H9="",VLOOKUP(D9,Partidos!$A$6:$H$200,7,FALSE())="",VLOOKUP(D9,Partidos!$A$6:$H$200,8,FALSE())=""),0,IF(AND(G9=VLOOKUP(D9,Partidos!$A$6:$H$200,7,FALSE()),H9=VLOOKUP(D9,Partidos!$A$6:$H$200,8,FALSE())),Config!$G$4,IF(AND(SIGN(G9-H9)=SIGN(VLOOKUP(D9,Partidos!$A$6:$H$200,7,FALSE())-VLOOKUP(D9,Partidos!$A$6:$H$200,8,FALSE())),(G9-H9)=(VLOOKUP(D9,Partidos!$A$6:$H$200,7,FALSE())-VLOOKUP(D9,Partidos!$A$6:$H$200,8,FALSE()))),Config!$G$5,IF(SIGN(G9-H9)=SIGN(VLOOKUP(D9,Partidos!$A$6:$H$200,7,FALSE())-VLOOKUP(D9,Partidos!$A$6:$H$200,8,FALSE())),Config!$G$6,Config!$G$7)))),0)</f>
        <v>5</v>
      </c>
    </row>
    <row r="10" spans="1:10">
      <c r="A10" s="13" t="s">
        <v>170</v>
      </c>
      <c r="B10" s="13" t="s">
        <v>38</v>
      </c>
      <c r="C10" s="20" t="str">
        <f>IFERROR(VLOOKUP(B10,Participantes!$A$6:$B$200,2,FALSE()),"")</f>
        <v>Juan Pérez</v>
      </c>
      <c r="D10" s="13" t="s">
        <v>111</v>
      </c>
      <c r="E10" s="20" t="str">
        <f>IFERROR(VLOOKUP(D10,Partidos!$A$6:$C$200,3,FALSE()),"")</f>
        <v>Fase de Grupos</v>
      </c>
      <c r="F10" s="20" t="str">
        <f>IFERROR(VLOOKUP(D10,Partidos!$A$6:$F$200,5,FALSE())&amp;" vs "&amp;VLOOKUP(D10,Partidos!$A$6:$F$200,6,FALSE()),"")</f>
        <v>Qatar vs Suiza</v>
      </c>
      <c r="G10" s="13">
        <v>2</v>
      </c>
      <c r="H10" s="13">
        <v>0</v>
      </c>
      <c r="I10" s="20" t="str">
        <f>IF(OR(G10="",H10=""),"",IF(G10&gt;H10,"Gana Local",IF(G10&lt;H10,"Gana Visitante","Empate")))</f>
        <v>Gana Local</v>
      </c>
      <c r="J10" s="21">
        <f>IFERROR(IF(OR(G10="",H10="",VLOOKUP(D10,Partidos!$A$6:$H$200,7,FALSE())="",VLOOKUP(D10,Partidos!$A$6:$H$200,8,FALSE())=""),0,IF(AND(G10=VLOOKUP(D10,Partidos!$A$6:$H$200,7,FALSE()),H10=VLOOKUP(D10,Partidos!$A$6:$H$200,8,FALSE())),Config!$G$4,IF(AND(SIGN(G10-H10)=SIGN(VLOOKUP(D10,Partidos!$A$6:$H$200,7,FALSE())-VLOOKUP(D10,Partidos!$A$6:$H$200,8,FALSE())),(G10-H10)=(VLOOKUP(D10,Partidos!$A$6:$H$200,7,FALSE())-VLOOKUP(D10,Partidos!$A$6:$H$200,8,FALSE()))),Config!$G$5,IF(SIGN(G10-H10)=SIGN(VLOOKUP(D10,Partidos!$A$6:$H$200,7,FALSE())-VLOOKUP(D10,Partidos!$A$6:$H$200,8,FALSE())),Config!$G$6,Config!$G$7)))),0)</f>
        <v>0</v>
      </c>
    </row>
    <row r="11" spans="1:10">
      <c r="A11" s="13" t="s">
        <v>171</v>
      </c>
      <c r="B11" s="13" t="s">
        <v>44</v>
      </c>
      <c r="C11" s="20" t="str">
        <f>IFERROR(VLOOKUP(B11,Participantes!$A$6:$B$200,2,FALSE()),"")</f>
        <v>María García</v>
      </c>
      <c r="D11" s="13" t="s">
        <v>97</v>
      </c>
      <c r="E11" s="20" t="str">
        <f>IFERROR(VLOOKUP(D11,Partidos!$A$6:$C$200,3,FALSE()),"")</f>
        <v>Fase de Grupos</v>
      </c>
      <c r="F11" s="20" t="str">
        <f>IFERROR(VLOOKUP(D11,Partidos!$A$6:$F$200,5,FALSE())&amp;" vs "&amp;VLOOKUP(D11,Partidos!$A$6:$F$200,6,FALSE()),"")</f>
        <v>México vs Sudáfrica</v>
      </c>
      <c r="G11" s="13">
        <v>1</v>
      </c>
      <c r="H11" s="13">
        <v>1</v>
      </c>
      <c r="I11" s="20" t="str">
        <f>IF(OR(G11="",H11=""),"",IF(G11&gt;H11,"Gana Local",IF(G11&lt;H11,"Gana Visitante","Empate")))</f>
        <v>Empate</v>
      </c>
      <c r="J11" s="21">
        <f>IFERROR(IF(OR(G11="",H11="",VLOOKUP(D11,Partidos!$A$6:$H$200,7,FALSE())="",VLOOKUP(D11,Partidos!$A$6:$H$200,8,FALSE())=""),0,IF(AND(G11=VLOOKUP(D11,Partidos!$A$6:$H$200,7,FALSE()),H11=VLOOKUP(D11,Partidos!$A$6:$H$200,8,FALSE())),Config!$G$4,IF(AND(SIGN(G11-H11)=SIGN(VLOOKUP(D11,Partidos!$A$6:$H$200,7,FALSE())-VLOOKUP(D11,Partidos!$A$6:$H$200,8,FALSE())),(G11-H11)=(VLOOKUP(D11,Partidos!$A$6:$H$200,7,FALSE())-VLOOKUP(D11,Partidos!$A$6:$H$200,8,FALSE()))),Config!$G$5,IF(SIGN(G11-H11)=SIGN(VLOOKUP(D11,Partidos!$A$6:$H$200,7,FALSE())-VLOOKUP(D11,Partidos!$A$6:$H$200,8,FALSE())),Config!$G$6,Config!$G$7)))),0)</f>
        <v>0</v>
      </c>
    </row>
    <row r="12" spans="1:10">
      <c r="A12" s="13" t="s">
        <v>172</v>
      </c>
      <c r="B12" s="13" t="s">
        <v>44</v>
      </c>
      <c r="C12" s="20" t="str">
        <f>IFERROR(VLOOKUP(B12,Participantes!$A$6:$B$200,2,FALSE()),"")</f>
        <v>María García</v>
      </c>
      <c r="D12" s="13" t="s">
        <v>102</v>
      </c>
      <c r="E12" s="20" t="str">
        <f>IFERROR(VLOOKUP(D12,Partidos!$A$6:$C$200,3,FALSE()),"")</f>
        <v>Fase de Grupos</v>
      </c>
      <c r="F12" s="20" t="str">
        <f>IFERROR(VLOOKUP(D12,Partidos!$A$6:$F$200,5,FALSE())&amp;" vs "&amp;VLOOKUP(D12,Partidos!$A$6:$F$200,6,FALSE()),"")</f>
        <v>Corea del Sur vs Chequia</v>
      </c>
      <c r="G12" s="13">
        <v>0</v>
      </c>
      <c r="H12" s="13">
        <v>2</v>
      </c>
      <c r="I12" s="20" t="str">
        <f>IF(OR(G12="",H12=""),"",IF(G12&gt;H12,"Gana Local",IF(G12&lt;H12,"Gana Visitante","Empate")))</f>
        <v>Gana Visitante</v>
      </c>
      <c r="J12" s="21">
        <f>IFERROR(IF(OR(G12="",H12="",VLOOKUP(D12,Partidos!$A$6:$H$200,7,FALSE())="",VLOOKUP(D12,Partidos!$A$6:$H$200,8,FALSE())=""),0,IF(AND(G12=VLOOKUP(D12,Partidos!$A$6:$H$200,7,FALSE()),H12=VLOOKUP(D12,Partidos!$A$6:$H$200,8,FALSE())),Config!$G$4,IF(AND(SIGN(G12-H12)=SIGN(VLOOKUP(D12,Partidos!$A$6:$H$200,7,FALSE())-VLOOKUP(D12,Partidos!$A$6:$H$200,8,FALSE())),(G12-H12)=(VLOOKUP(D12,Partidos!$A$6:$H$200,7,FALSE())-VLOOKUP(D12,Partidos!$A$6:$H$200,8,FALSE()))),Config!$G$5,IF(SIGN(G12-H12)=SIGN(VLOOKUP(D12,Partidos!$A$6:$H$200,7,FALSE())-VLOOKUP(D12,Partidos!$A$6:$H$200,8,FALSE())),Config!$G$6,Config!$G$7)))),0)</f>
        <v>0</v>
      </c>
    </row>
    <row r="13" spans="1:10">
      <c r="A13" s="13" t="s">
        <v>173</v>
      </c>
      <c r="B13" s="13" t="s">
        <v>44</v>
      </c>
      <c r="C13" s="20" t="str">
        <f>IFERROR(VLOOKUP(B13,Participantes!$A$6:$B$200,2,FALSE()),"")</f>
        <v>María García</v>
      </c>
      <c r="D13" s="13" t="s">
        <v>104</v>
      </c>
      <c r="E13" s="20" t="str">
        <f>IFERROR(VLOOKUP(D13,Partidos!$A$6:$C$200,3,FALSE()),"")</f>
        <v>Fase de Grupos</v>
      </c>
      <c r="F13" s="20" t="str">
        <f>IFERROR(VLOOKUP(D13,Partidos!$A$6:$F$200,5,FALSE())&amp;" vs "&amp;VLOOKUP(D13,Partidos!$A$6:$F$200,6,FALSE()),"")</f>
        <v>Canadá vs Bosnia y Herzegovina</v>
      </c>
      <c r="G13" s="13">
        <v>4</v>
      </c>
      <c r="H13" s="13">
        <v>0</v>
      </c>
      <c r="I13" s="20" t="str">
        <f>IF(OR(G13="",H13=""),"",IF(G13&gt;H13,"Gana Local",IF(G13&lt;H13,"Gana Visitante","Empate")))</f>
        <v>Gana Local</v>
      </c>
      <c r="J13" s="21">
        <f>IFERROR(IF(OR(G13="",H13="",VLOOKUP(D13,Partidos!$A$6:$H$200,7,FALSE())="",VLOOKUP(D13,Partidos!$A$6:$H$200,8,FALSE())=""),0,IF(AND(G13=VLOOKUP(D13,Partidos!$A$6:$H$200,7,FALSE()),H13=VLOOKUP(D13,Partidos!$A$6:$H$200,8,FALSE())),Config!$G$4,IF(AND(SIGN(G13-H13)=SIGN(VLOOKUP(D13,Partidos!$A$6:$H$200,7,FALSE())-VLOOKUP(D13,Partidos!$A$6:$H$200,8,FALSE())),(G13-H13)=(VLOOKUP(D13,Partidos!$A$6:$H$200,7,FALSE())-VLOOKUP(D13,Partidos!$A$6:$H$200,8,FALSE()))),Config!$G$5,IF(SIGN(G13-H13)=SIGN(VLOOKUP(D13,Partidos!$A$6:$H$200,7,FALSE())-VLOOKUP(D13,Partidos!$A$6:$H$200,8,FALSE())),Config!$G$6,Config!$G$7)))),0)</f>
        <v>1</v>
      </c>
    </row>
    <row r="14" spans="1:10">
      <c r="A14" s="13" t="s">
        <v>174</v>
      </c>
      <c r="B14" s="13" t="s">
        <v>44</v>
      </c>
      <c r="C14" s="20" t="str">
        <f>IFERROR(VLOOKUP(B14,Participantes!$A$6:$B$200,2,FALSE()),"")</f>
        <v>María García</v>
      </c>
      <c r="D14" s="13" t="s">
        <v>108</v>
      </c>
      <c r="E14" s="20" t="str">
        <f>IFERROR(VLOOKUP(D14,Partidos!$A$6:$C$200,3,FALSE()),"")</f>
        <v>Fase de Grupos</v>
      </c>
      <c r="F14" s="20" t="str">
        <f>IFERROR(VLOOKUP(D14,Partidos!$A$6:$F$200,5,FALSE())&amp;" vs "&amp;VLOOKUP(D14,Partidos!$A$6:$F$200,6,FALSE()),"")</f>
        <v>Estados Unidos vs Paraguay</v>
      </c>
      <c r="G14" s="13">
        <v>1</v>
      </c>
      <c r="H14" s="13">
        <v>1</v>
      </c>
      <c r="I14" s="20" t="str">
        <f>IF(OR(G14="",H14=""),"",IF(G14&gt;H14,"Gana Local",IF(G14&lt;H14,"Gana Visitante","Empate")))</f>
        <v>Empate</v>
      </c>
      <c r="J14" s="21">
        <f>IFERROR(IF(OR(G14="",H14="",VLOOKUP(D14,Partidos!$A$6:$H$200,7,FALSE())="",VLOOKUP(D14,Partidos!$A$6:$H$200,8,FALSE())=""),0,IF(AND(G14=VLOOKUP(D14,Partidos!$A$6:$H$200,7,FALSE()),H14=VLOOKUP(D14,Partidos!$A$6:$H$200,8,FALSE())),Config!$G$4,IF(AND(SIGN(G14-H14)=SIGN(VLOOKUP(D14,Partidos!$A$6:$H$200,7,FALSE())-VLOOKUP(D14,Partidos!$A$6:$H$200,8,FALSE())),(G14-H14)=(VLOOKUP(D14,Partidos!$A$6:$H$200,7,FALSE())-VLOOKUP(D14,Partidos!$A$6:$H$200,8,FALSE()))),Config!$G$5,IF(SIGN(G14-H14)=SIGN(VLOOKUP(D14,Partidos!$A$6:$H$200,7,FALSE())-VLOOKUP(D14,Partidos!$A$6:$H$200,8,FALSE())),Config!$G$6,Config!$G$7)))),0)</f>
        <v>0</v>
      </c>
    </row>
    <row r="15" spans="1:10">
      <c r="A15" s="13" t="s">
        <v>175</v>
      </c>
      <c r="B15" s="13" t="s">
        <v>44</v>
      </c>
      <c r="C15" s="20" t="str">
        <f>IFERROR(VLOOKUP(B15,Participantes!$A$6:$B$200,2,FALSE()),"")</f>
        <v>María García</v>
      </c>
      <c r="D15" s="13" t="s">
        <v>111</v>
      </c>
      <c r="E15" s="20" t="str">
        <f>IFERROR(VLOOKUP(D15,Partidos!$A$6:$C$200,3,FALSE()),"")</f>
        <v>Fase de Grupos</v>
      </c>
      <c r="F15" s="20" t="str">
        <f>IFERROR(VLOOKUP(D15,Partidos!$A$6:$F$200,5,FALSE())&amp;" vs "&amp;VLOOKUP(D15,Partidos!$A$6:$F$200,6,FALSE()),"")</f>
        <v>Qatar vs Suiza</v>
      </c>
      <c r="G15" s="13">
        <v>1</v>
      </c>
      <c r="H15" s="13">
        <v>2</v>
      </c>
      <c r="I15" s="20" t="str">
        <f>IF(OR(G15="",H15=""),"",IF(G15&gt;H15,"Gana Local",IF(G15&lt;H15,"Gana Visitante","Empate")))</f>
        <v>Gana Visitante</v>
      </c>
      <c r="J15" s="21">
        <f>IFERROR(IF(OR(G15="",H15="",VLOOKUP(D15,Partidos!$A$6:$H$200,7,FALSE())="",VLOOKUP(D15,Partidos!$A$6:$H$200,8,FALSE())=""),0,IF(AND(G15=VLOOKUP(D15,Partidos!$A$6:$H$200,7,FALSE()),H15=VLOOKUP(D15,Partidos!$A$6:$H$200,8,FALSE())),Config!$G$4,IF(AND(SIGN(G15-H15)=SIGN(VLOOKUP(D15,Partidos!$A$6:$H$200,7,FALSE())-VLOOKUP(D15,Partidos!$A$6:$H$200,8,FALSE())),(G15-H15)=(VLOOKUP(D15,Partidos!$A$6:$H$200,7,FALSE())-VLOOKUP(D15,Partidos!$A$6:$H$200,8,FALSE()))),Config!$G$5,IF(SIGN(G15-H15)=SIGN(VLOOKUP(D15,Partidos!$A$6:$H$200,7,FALSE())-VLOOKUP(D15,Partidos!$A$6:$H$200,8,FALSE())),Config!$G$6,Config!$G$7)))),0)</f>
        <v>1</v>
      </c>
    </row>
    <row r="16" spans="1:10">
      <c r="A16" s="13" t="s">
        <v>176</v>
      </c>
      <c r="B16" s="13" t="s">
        <v>48</v>
      </c>
      <c r="C16" s="20" t="str">
        <f>IFERROR(VLOOKUP(B16,Participantes!$A$6:$B$200,2,FALSE()),"")</f>
        <v>Lucas Rodríguez</v>
      </c>
      <c r="D16" s="13" t="s">
        <v>97</v>
      </c>
      <c r="E16" s="20" t="str">
        <f>IFERROR(VLOOKUP(D16,Partidos!$A$6:$C$200,3,FALSE()),"")</f>
        <v>Fase de Grupos</v>
      </c>
      <c r="F16" s="20" t="str">
        <f>IFERROR(VLOOKUP(D16,Partidos!$A$6:$F$200,5,FALSE())&amp;" vs "&amp;VLOOKUP(D16,Partidos!$A$6:$F$200,6,FALSE()),"")</f>
        <v>México vs Sudáfrica</v>
      </c>
      <c r="G16" s="13">
        <v>0</v>
      </c>
      <c r="H16" s="13">
        <v>2</v>
      </c>
      <c r="I16" s="20" t="str">
        <f>IF(OR(G16="",H16=""),"",IF(G16&gt;H16,"Gana Local",IF(G16&lt;H16,"Gana Visitante","Empate")))</f>
        <v>Gana Visitante</v>
      </c>
      <c r="J16" s="21">
        <f>IFERROR(IF(OR(G16="",H16="",VLOOKUP(D16,Partidos!$A$6:$H$200,7,FALSE())="",VLOOKUP(D16,Partidos!$A$6:$H$200,8,FALSE())=""),0,IF(AND(G16=VLOOKUP(D16,Partidos!$A$6:$H$200,7,FALSE()),H16=VLOOKUP(D16,Partidos!$A$6:$H$200,8,FALSE())),Config!$G$4,IF(AND(SIGN(G16-H16)=SIGN(VLOOKUP(D16,Partidos!$A$6:$H$200,7,FALSE())-VLOOKUP(D16,Partidos!$A$6:$H$200,8,FALSE())),(G16-H16)=(VLOOKUP(D16,Partidos!$A$6:$H$200,7,FALSE())-VLOOKUP(D16,Partidos!$A$6:$H$200,8,FALSE()))),Config!$G$5,IF(SIGN(G16-H16)=SIGN(VLOOKUP(D16,Partidos!$A$6:$H$200,7,FALSE())-VLOOKUP(D16,Partidos!$A$6:$H$200,8,FALSE())),Config!$G$6,Config!$G$7)))),0)</f>
        <v>0</v>
      </c>
    </row>
    <row r="17" spans="1:10">
      <c r="A17" s="13" t="s">
        <v>177</v>
      </c>
      <c r="B17" s="13" t="s">
        <v>48</v>
      </c>
      <c r="C17" s="20" t="str">
        <f>IFERROR(VLOOKUP(B17,Participantes!$A$6:$B$200,2,FALSE()),"")</f>
        <v>Lucas Rodríguez</v>
      </c>
      <c r="D17" s="13" t="s">
        <v>102</v>
      </c>
      <c r="E17" s="20" t="str">
        <f>IFERROR(VLOOKUP(D17,Partidos!$A$6:$C$200,3,FALSE()),"")</f>
        <v>Fase de Grupos</v>
      </c>
      <c r="F17" s="20" t="str">
        <f>IFERROR(VLOOKUP(D17,Partidos!$A$6:$F$200,5,FALSE())&amp;" vs "&amp;VLOOKUP(D17,Partidos!$A$6:$F$200,6,FALSE()),"")</f>
        <v>Corea del Sur vs Chequia</v>
      </c>
      <c r="G17" s="13">
        <v>1</v>
      </c>
      <c r="H17" s="13">
        <v>3</v>
      </c>
      <c r="I17" s="20" t="str">
        <f>IF(OR(G17="",H17=""),"",IF(G17&gt;H17,"Gana Local",IF(G17&lt;H17,"Gana Visitante","Empate")))</f>
        <v>Gana Visitante</v>
      </c>
      <c r="J17" s="21">
        <f>IFERROR(IF(OR(G17="",H17="",VLOOKUP(D17,Partidos!$A$6:$H$200,7,FALSE())="",VLOOKUP(D17,Partidos!$A$6:$H$200,8,FALSE())=""),0,IF(AND(G17=VLOOKUP(D17,Partidos!$A$6:$H$200,7,FALSE()),H17=VLOOKUP(D17,Partidos!$A$6:$H$200,8,FALSE())),Config!$G$4,IF(AND(SIGN(G17-H17)=SIGN(VLOOKUP(D17,Partidos!$A$6:$H$200,7,FALSE())-VLOOKUP(D17,Partidos!$A$6:$H$200,8,FALSE())),(G17-H17)=(VLOOKUP(D17,Partidos!$A$6:$H$200,7,FALSE())-VLOOKUP(D17,Partidos!$A$6:$H$200,8,FALSE()))),Config!$G$5,IF(SIGN(G17-H17)=SIGN(VLOOKUP(D17,Partidos!$A$6:$H$200,7,FALSE())-VLOOKUP(D17,Partidos!$A$6:$H$200,8,FALSE())),Config!$G$6,Config!$G$7)))),0)</f>
        <v>0</v>
      </c>
    </row>
    <row r="18" spans="1:10">
      <c r="A18" s="13" t="s">
        <v>178</v>
      </c>
      <c r="B18" s="13" t="s">
        <v>48</v>
      </c>
      <c r="C18" s="20" t="str">
        <f>IFERROR(VLOOKUP(B18,Participantes!$A$6:$B$200,2,FALSE()),"")</f>
        <v>Lucas Rodríguez</v>
      </c>
      <c r="D18" s="13" t="s">
        <v>104</v>
      </c>
      <c r="E18" s="20" t="str">
        <f>IFERROR(VLOOKUP(D18,Partidos!$A$6:$C$200,3,FALSE()),"")</f>
        <v>Fase de Grupos</v>
      </c>
      <c r="F18" s="20" t="str">
        <f>IFERROR(VLOOKUP(D18,Partidos!$A$6:$F$200,5,FALSE())&amp;" vs "&amp;VLOOKUP(D18,Partidos!$A$6:$F$200,6,FALSE()),"")</f>
        <v>Canadá vs Bosnia y Herzegovina</v>
      </c>
      <c r="G18" s="13">
        <v>2</v>
      </c>
      <c r="H18" s="13">
        <v>1</v>
      </c>
      <c r="I18" s="20" t="str">
        <f>IF(OR(G18="",H18=""),"",IF(G18&gt;H18,"Gana Local",IF(G18&lt;H18,"Gana Visitante","Empate")))</f>
        <v>Gana Local</v>
      </c>
      <c r="J18" s="21">
        <f>IFERROR(IF(OR(G18="",H18="",VLOOKUP(D18,Partidos!$A$6:$H$200,7,FALSE())="",VLOOKUP(D18,Partidos!$A$6:$H$200,8,FALSE())=""),0,IF(AND(G18=VLOOKUP(D18,Partidos!$A$6:$H$200,7,FALSE()),H18=VLOOKUP(D18,Partidos!$A$6:$H$200,8,FALSE())),Config!$G$4,IF(AND(SIGN(G18-H18)=SIGN(VLOOKUP(D18,Partidos!$A$6:$H$200,7,FALSE())-VLOOKUP(D18,Partidos!$A$6:$H$200,8,FALSE())),(G18-H18)=(VLOOKUP(D18,Partidos!$A$6:$H$200,7,FALSE())-VLOOKUP(D18,Partidos!$A$6:$H$200,8,FALSE()))),Config!$G$5,IF(SIGN(G18-H18)=SIGN(VLOOKUP(D18,Partidos!$A$6:$H$200,7,FALSE())-VLOOKUP(D18,Partidos!$A$6:$H$200,8,FALSE())),Config!$G$6,Config!$G$7)))),0)</f>
        <v>3</v>
      </c>
    </row>
    <row r="19" spans="1:10">
      <c r="A19" s="13" t="s">
        <v>179</v>
      </c>
      <c r="B19" s="13" t="s">
        <v>48</v>
      </c>
      <c r="C19" s="20" t="str">
        <f>IFERROR(VLOOKUP(B19,Participantes!$A$6:$B$200,2,FALSE()),"")</f>
        <v>Lucas Rodríguez</v>
      </c>
      <c r="D19" s="13" t="s">
        <v>108</v>
      </c>
      <c r="E19" s="20" t="str">
        <f>IFERROR(VLOOKUP(D19,Partidos!$A$6:$C$200,3,FALSE()),"")</f>
        <v>Fase de Grupos</v>
      </c>
      <c r="F19" s="20" t="str">
        <f>IFERROR(VLOOKUP(D19,Partidos!$A$6:$F$200,5,FALSE())&amp;" vs "&amp;VLOOKUP(D19,Partidos!$A$6:$F$200,6,FALSE()),"")</f>
        <v>Estados Unidos vs Paraguay</v>
      </c>
      <c r="G19" s="13">
        <v>2</v>
      </c>
      <c r="H19" s="13">
        <v>2</v>
      </c>
      <c r="I19" s="20" t="str">
        <f>IF(OR(G19="",H19=""),"",IF(G19&gt;H19,"Gana Local",IF(G19&lt;H19,"Gana Visitante","Empate")))</f>
        <v>Empate</v>
      </c>
      <c r="J19" s="21">
        <f>IFERROR(IF(OR(G19="",H19="",VLOOKUP(D19,Partidos!$A$6:$H$200,7,FALSE())="",VLOOKUP(D19,Partidos!$A$6:$H$200,8,FALSE())=""),0,IF(AND(G19=VLOOKUP(D19,Partidos!$A$6:$H$200,7,FALSE()),H19=VLOOKUP(D19,Partidos!$A$6:$H$200,8,FALSE())),Config!$G$4,IF(AND(SIGN(G19-H19)=SIGN(VLOOKUP(D19,Partidos!$A$6:$H$200,7,FALSE())-VLOOKUP(D19,Partidos!$A$6:$H$200,8,FALSE())),(G19-H19)=(VLOOKUP(D19,Partidos!$A$6:$H$200,7,FALSE())-VLOOKUP(D19,Partidos!$A$6:$H$200,8,FALSE()))),Config!$G$5,IF(SIGN(G19-H19)=SIGN(VLOOKUP(D19,Partidos!$A$6:$H$200,7,FALSE())-VLOOKUP(D19,Partidos!$A$6:$H$200,8,FALSE())),Config!$G$6,Config!$G$7)))),0)</f>
        <v>0</v>
      </c>
    </row>
    <row r="20" spans="1:10">
      <c r="A20" s="13" t="s">
        <v>180</v>
      </c>
      <c r="B20" s="13" t="s">
        <v>48</v>
      </c>
      <c r="C20" s="20" t="str">
        <f>IFERROR(VLOOKUP(B20,Participantes!$A$6:$B$200,2,FALSE()),"")</f>
        <v>Lucas Rodríguez</v>
      </c>
      <c r="D20" s="13" t="s">
        <v>111</v>
      </c>
      <c r="E20" s="20" t="str">
        <f>IFERROR(VLOOKUP(D20,Partidos!$A$6:$C$200,3,FALSE()),"")</f>
        <v>Fase de Grupos</v>
      </c>
      <c r="F20" s="20" t="str">
        <f>IFERROR(VLOOKUP(D20,Partidos!$A$6:$F$200,5,FALSE())&amp;" vs "&amp;VLOOKUP(D20,Partidos!$A$6:$F$200,6,FALSE()),"")</f>
        <v>Qatar vs Suiza</v>
      </c>
      <c r="G20" s="13">
        <v>3</v>
      </c>
      <c r="H20" s="13">
        <v>0</v>
      </c>
      <c r="I20" s="20" t="str">
        <f>IF(OR(G20="",H20=""),"",IF(G20&gt;H20,"Gana Local",IF(G20&lt;H20,"Gana Visitante","Empate")))</f>
        <v>Gana Local</v>
      </c>
      <c r="J20" s="21">
        <f>IFERROR(IF(OR(G20="",H20="",VLOOKUP(D20,Partidos!$A$6:$H$200,7,FALSE())="",VLOOKUP(D20,Partidos!$A$6:$H$200,8,FALSE())=""),0,IF(AND(G20=VLOOKUP(D20,Partidos!$A$6:$H$200,7,FALSE()),H20=VLOOKUP(D20,Partidos!$A$6:$H$200,8,FALSE())),Config!$G$4,IF(AND(SIGN(G20-H20)=SIGN(VLOOKUP(D20,Partidos!$A$6:$H$200,7,FALSE())-VLOOKUP(D20,Partidos!$A$6:$H$200,8,FALSE())),(G20-H20)=(VLOOKUP(D20,Partidos!$A$6:$H$200,7,FALSE())-VLOOKUP(D20,Partidos!$A$6:$H$200,8,FALSE()))),Config!$G$5,IF(SIGN(G20-H20)=SIGN(VLOOKUP(D20,Partidos!$A$6:$H$200,7,FALSE())-VLOOKUP(D20,Partidos!$A$6:$H$200,8,FALSE())),Config!$G$6,Config!$G$7)))),0)</f>
        <v>0</v>
      </c>
    </row>
    <row r="21" spans="1:10">
      <c r="A21" s="13" t="s">
        <v>181</v>
      </c>
      <c r="B21" s="13" t="s">
        <v>53</v>
      </c>
      <c r="C21" s="20" t="str">
        <f>IFERROR(VLOOKUP(B21,Participantes!$A$6:$B$200,2,FALSE()),"")</f>
        <v>Sofía Martínez</v>
      </c>
      <c r="D21" s="13" t="s">
        <v>97</v>
      </c>
      <c r="E21" s="20" t="str">
        <f>IFERROR(VLOOKUP(D21,Partidos!$A$6:$C$200,3,FALSE()),"")</f>
        <v>Fase de Grupos</v>
      </c>
      <c r="F21" s="20" t="str">
        <f>IFERROR(VLOOKUP(D21,Partidos!$A$6:$F$200,5,FALSE())&amp;" vs "&amp;VLOOKUP(D21,Partidos!$A$6:$F$200,6,FALSE()),"")</f>
        <v>México vs Sudáfrica</v>
      </c>
      <c r="G21" s="13">
        <v>1</v>
      </c>
      <c r="H21" s="13">
        <v>0</v>
      </c>
      <c r="I21" s="20" t="str">
        <f>IF(OR(G21="",H21=""),"",IF(G21&gt;H21,"Gana Local",IF(G21&lt;H21,"Gana Visitante","Empate")))</f>
        <v>Gana Local</v>
      </c>
      <c r="J21" s="21">
        <f>IFERROR(IF(OR(G21="",H21="",VLOOKUP(D21,Partidos!$A$6:$H$200,7,FALSE())="",VLOOKUP(D21,Partidos!$A$6:$H$200,8,FALSE())=""),0,IF(AND(G21=VLOOKUP(D21,Partidos!$A$6:$H$200,7,FALSE()),H21=VLOOKUP(D21,Partidos!$A$6:$H$200,8,FALSE())),Config!$G$4,IF(AND(SIGN(G21-H21)=SIGN(VLOOKUP(D21,Partidos!$A$6:$H$200,7,FALSE())-VLOOKUP(D21,Partidos!$A$6:$H$200,8,FALSE())),(G21-H21)=(VLOOKUP(D21,Partidos!$A$6:$H$200,7,FALSE())-VLOOKUP(D21,Partidos!$A$6:$H$200,8,FALSE()))),Config!$G$5,IF(SIGN(G21-H21)=SIGN(VLOOKUP(D21,Partidos!$A$6:$H$200,7,FALSE())-VLOOKUP(D21,Partidos!$A$6:$H$200,8,FALSE())),Config!$G$6,Config!$G$7)))),0)</f>
        <v>3</v>
      </c>
    </row>
    <row r="22" spans="1:10">
      <c r="A22" s="13" t="s">
        <v>182</v>
      </c>
      <c r="B22" s="13" t="s">
        <v>53</v>
      </c>
      <c r="C22" s="20" t="str">
        <f>IFERROR(VLOOKUP(B22,Participantes!$A$6:$B$200,2,FALSE()),"")</f>
        <v>Sofía Martínez</v>
      </c>
      <c r="D22" s="13" t="s">
        <v>102</v>
      </c>
      <c r="E22" s="20" t="str">
        <f>IFERROR(VLOOKUP(D22,Partidos!$A$6:$C$200,3,FALSE()),"")</f>
        <v>Fase de Grupos</v>
      </c>
      <c r="F22" s="20" t="str">
        <f>IFERROR(VLOOKUP(D22,Partidos!$A$6:$F$200,5,FALSE())&amp;" vs "&amp;VLOOKUP(D22,Partidos!$A$6:$F$200,6,FALSE()),"")</f>
        <v>Corea del Sur vs Chequia</v>
      </c>
      <c r="G22" s="13">
        <v>2</v>
      </c>
      <c r="H22" s="13">
        <v>1</v>
      </c>
      <c r="I22" s="20" t="str">
        <f>IF(OR(G22="",H22=""),"",IF(G22&gt;H22,"Gana Local",IF(G22&lt;H22,"Gana Visitante","Empate")))</f>
        <v>Gana Local</v>
      </c>
      <c r="J22" s="21">
        <f>IFERROR(IF(OR(G22="",H22="",VLOOKUP(D22,Partidos!$A$6:$H$200,7,FALSE())="",VLOOKUP(D22,Partidos!$A$6:$H$200,8,FALSE())=""),0,IF(AND(G22=VLOOKUP(D22,Partidos!$A$6:$H$200,7,FALSE()),H22=VLOOKUP(D22,Partidos!$A$6:$H$200,8,FALSE())),Config!$G$4,IF(AND(SIGN(G22-H22)=SIGN(VLOOKUP(D22,Partidos!$A$6:$H$200,7,FALSE())-VLOOKUP(D22,Partidos!$A$6:$H$200,8,FALSE())),(G22-H22)=(VLOOKUP(D22,Partidos!$A$6:$H$200,7,FALSE())-VLOOKUP(D22,Partidos!$A$6:$H$200,8,FALSE()))),Config!$G$5,IF(SIGN(G22-H22)=SIGN(VLOOKUP(D22,Partidos!$A$6:$H$200,7,FALSE())-VLOOKUP(D22,Partidos!$A$6:$H$200,8,FALSE())),Config!$G$6,Config!$G$7)))),0)</f>
        <v>0</v>
      </c>
    </row>
    <row r="23" spans="1:10">
      <c r="A23" s="13" t="s">
        <v>183</v>
      </c>
      <c r="B23" s="13" t="s">
        <v>53</v>
      </c>
      <c r="C23" s="20" t="str">
        <f>IFERROR(VLOOKUP(B23,Participantes!$A$6:$B$200,2,FALSE()),"")</f>
        <v>Sofía Martínez</v>
      </c>
      <c r="D23" s="13" t="s">
        <v>104</v>
      </c>
      <c r="E23" s="20" t="str">
        <f>IFERROR(VLOOKUP(D23,Partidos!$A$6:$C$200,3,FALSE()),"")</f>
        <v>Fase de Grupos</v>
      </c>
      <c r="F23" s="20" t="str">
        <f>IFERROR(VLOOKUP(D23,Partidos!$A$6:$F$200,5,FALSE())&amp;" vs "&amp;VLOOKUP(D23,Partidos!$A$6:$F$200,6,FALSE()),"")</f>
        <v>Canadá vs Bosnia y Herzegovina</v>
      </c>
      <c r="G23" s="13">
        <v>2</v>
      </c>
      <c r="H23" s="13">
        <v>0</v>
      </c>
      <c r="I23" s="20" t="str">
        <f>IF(OR(G23="",H23=""),"",IF(G23&gt;H23,"Gana Local",IF(G23&lt;H23,"Gana Visitante","Empate")))</f>
        <v>Gana Local</v>
      </c>
      <c r="J23" s="21">
        <f>IFERROR(IF(OR(G23="",H23="",VLOOKUP(D23,Partidos!$A$6:$H$200,7,FALSE())="",VLOOKUP(D23,Partidos!$A$6:$H$200,8,FALSE())=""),0,IF(AND(G23=VLOOKUP(D23,Partidos!$A$6:$H$200,7,FALSE()),H23=VLOOKUP(D23,Partidos!$A$6:$H$200,8,FALSE())),Config!$G$4,IF(AND(SIGN(G23-H23)=SIGN(VLOOKUP(D23,Partidos!$A$6:$H$200,7,FALSE())-VLOOKUP(D23,Partidos!$A$6:$H$200,8,FALSE())),(G23-H23)=(VLOOKUP(D23,Partidos!$A$6:$H$200,7,FALSE())-VLOOKUP(D23,Partidos!$A$6:$H$200,8,FALSE()))),Config!$G$5,IF(SIGN(G23-H23)=SIGN(VLOOKUP(D23,Partidos!$A$6:$H$200,7,FALSE())-VLOOKUP(D23,Partidos!$A$6:$H$200,8,FALSE())),Config!$G$6,Config!$G$7)))),0)</f>
        <v>1</v>
      </c>
    </row>
    <row r="24" spans="1:10">
      <c r="A24" s="13" t="s">
        <v>184</v>
      </c>
      <c r="B24" s="13" t="s">
        <v>53</v>
      </c>
      <c r="C24" s="20" t="str">
        <f>IFERROR(VLOOKUP(B24,Participantes!$A$6:$B$200,2,FALSE()),"")</f>
        <v>Sofía Martínez</v>
      </c>
      <c r="D24" s="13" t="s">
        <v>108</v>
      </c>
      <c r="E24" s="20" t="str">
        <f>IFERROR(VLOOKUP(D24,Partidos!$A$6:$C$200,3,FALSE()),"")</f>
        <v>Fase de Grupos</v>
      </c>
      <c r="F24" s="20" t="str">
        <f>IFERROR(VLOOKUP(D24,Partidos!$A$6:$F$200,5,FALSE())&amp;" vs "&amp;VLOOKUP(D24,Partidos!$A$6:$F$200,6,FALSE()),"")</f>
        <v>Estados Unidos vs Paraguay</v>
      </c>
      <c r="G24" s="13">
        <v>1</v>
      </c>
      <c r="H24" s="13">
        <v>2</v>
      </c>
      <c r="I24" s="20" t="str">
        <f>IF(OR(G24="",H24=""),"",IF(G24&gt;H24,"Gana Local",IF(G24&lt;H24,"Gana Visitante","Empate")))</f>
        <v>Gana Visitante</v>
      </c>
      <c r="J24" s="21">
        <f>IFERROR(IF(OR(G24="",H24="",VLOOKUP(D24,Partidos!$A$6:$H$200,7,FALSE())="",VLOOKUP(D24,Partidos!$A$6:$H$200,8,FALSE())=""),0,IF(AND(G24=VLOOKUP(D24,Partidos!$A$6:$H$200,7,FALSE()),H24=VLOOKUP(D24,Partidos!$A$6:$H$200,8,FALSE())),Config!$G$4,IF(AND(SIGN(G24-H24)=SIGN(VLOOKUP(D24,Partidos!$A$6:$H$200,7,FALSE())-VLOOKUP(D24,Partidos!$A$6:$H$200,8,FALSE())),(G24-H24)=(VLOOKUP(D24,Partidos!$A$6:$H$200,7,FALSE())-VLOOKUP(D24,Partidos!$A$6:$H$200,8,FALSE()))),Config!$G$5,IF(SIGN(G24-H24)=SIGN(VLOOKUP(D24,Partidos!$A$6:$H$200,7,FALSE())-VLOOKUP(D24,Partidos!$A$6:$H$200,8,FALSE())),Config!$G$6,Config!$G$7)))),0)</f>
        <v>0</v>
      </c>
    </row>
    <row r="25" spans="1:10">
      <c r="A25" s="13" t="s">
        <v>185</v>
      </c>
      <c r="B25" s="13" t="s">
        <v>53</v>
      </c>
      <c r="C25" s="20" t="str">
        <f>IFERROR(VLOOKUP(B25,Participantes!$A$6:$B$200,2,FALSE()),"")</f>
        <v>Sofía Martínez</v>
      </c>
      <c r="D25" s="13" t="s">
        <v>111</v>
      </c>
      <c r="E25" s="20" t="str">
        <f>IFERROR(VLOOKUP(D25,Partidos!$A$6:$C$200,3,FALSE()),"")</f>
        <v>Fase de Grupos</v>
      </c>
      <c r="F25" s="20" t="str">
        <f>IFERROR(VLOOKUP(D25,Partidos!$A$6:$F$200,5,FALSE())&amp;" vs "&amp;VLOOKUP(D25,Partidos!$A$6:$F$200,6,FALSE()),"")</f>
        <v>Qatar vs Suiza</v>
      </c>
      <c r="G25" s="13">
        <v>2</v>
      </c>
      <c r="H25" s="13">
        <v>2</v>
      </c>
      <c r="I25" s="20" t="str">
        <f>IF(OR(G25="",H25=""),"",IF(G25&gt;H25,"Gana Local",IF(G25&lt;H25,"Gana Visitante","Empate")))</f>
        <v>Empate</v>
      </c>
      <c r="J25" s="21">
        <f>IFERROR(IF(OR(G25="",H25="",VLOOKUP(D25,Partidos!$A$6:$H$200,7,FALSE())="",VLOOKUP(D25,Partidos!$A$6:$H$200,8,FALSE())=""),0,IF(AND(G25=VLOOKUP(D25,Partidos!$A$6:$H$200,7,FALSE()),H25=VLOOKUP(D25,Partidos!$A$6:$H$200,8,FALSE())),Config!$G$4,IF(AND(SIGN(G25-H25)=SIGN(VLOOKUP(D25,Partidos!$A$6:$H$200,7,FALSE())-VLOOKUP(D25,Partidos!$A$6:$H$200,8,FALSE())),(G25-H25)=(VLOOKUP(D25,Partidos!$A$6:$H$200,7,FALSE())-VLOOKUP(D25,Partidos!$A$6:$H$200,8,FALSE()))),Config!$G$5,IF(SIGN(G25-H25)=SIGN(VLOOKUP(D25,Partidos!$A$6:$H$200,7,FALSE())-VLOOKUP(D25,Partidos!$A$6:$H$200,8,FALSE())),Config!$G$6,Config!$G$7)))),0)</f>
        <v>0</v>
      </c>
    </row>
    <row r="26" spans="1:10">
      <c r="A26" s="13" t="s">
        <v>186</v>
      </c>
      <c r="B26" s="13" t="s">
        <v>58</v>
      </c>
      <c r="C26" s="20" t="str">
        <f>IFERROR(VLOOKUP(B26,Participantes!$A$6:$B$200,2,FALSE()),"")</f>
        <v>Diego Silva</v>
      </c>
      <c r="D26" s="13" t="s">
        <v>114</v>
      </c>
      <c r="E26" s="20" t="str">
        <f>IFERROR(VLOOKUP(D26,Partidos!$A$6:$C$200,3,FALSE()),"")</f>
        <v>Fase de Grupos</v>
      </c>
      <c r="F26" s="20" t="str">
        <f>IFERROR(VLOOKUP(D26,Partidos!$A$6:$F$200,5,FALSE())&amp;" vs "&amp;VLOOKUP(D26,Partidos!$A$6:$F$200,6,FALSE()),"")</f>
        <v>Brasil vs Marruecos</v>
      </c>
      <c r="G26" s="13">
        <v>1</v>
      </c>
      <c r="H26" s="13">
        <v>0</v>
      </c>
      <c r="I26" s="20" t="str">
        <f>IF(OR(G26="",H26=""),"",IF(G26&gt;H26,"Gana Local",IF(G26&lt;H26,"Gana Visitante","Empate")))</f>
        <v>Gana Local</v>
      </c>
      <c r="J26" s="21">
        <f>IFERROR(IF(OR(G26="",H26="",VLOOKUP(D26,Partidos!$A$6:$H$200,7,FALSE())="",VLOOKUP(D26,Partidos!$A$6:$H$200,8,FALSE())=""),0,IF(AND(G26=VLOOKUP(D26,Partidos!$A$6:$H$200,7,FALSE()),H26=VLOOKUP(D26,Partidos!$A$6:$H$200,8,FALSE())),Config!$G$4,IF(AND(SIGN(G26-H26)=SIGN(VLOOKUP(D26,Partidos!$A$6:$H$200,7,FALSE())-VLOOKUP(D26,Partidos!$A$6:$H$200,8,FALSE())),(G26-H26)=(VLOOKUP(D26,Partidos!$A$6:$H$200,7,FALSE())-VLOOKUP(D26,Partidos!$A$6:$H$200,8,FALSE()))),Config!$G$5,IF(SIGN(G26-H26)=SIGN(VLOOKUP(D26,Partidos!$A$6:$H$200,7,FALSE())-VLOOKUP(D26,Partidos!$A$6:$H$200,8,FALSE())),Config!$G$6,Config!$G$7)))),0)</f>
        <v>0</v>
      </c>
    </row>
    <row r="27" spans="1:10">
      <c r="A27" s="13" t="s">
        <v>187</v>
      </c>
      <c r="B27" s="13" t="s">
        <v>58</v>
      </c>
      <c r="C27" s="20" t="str">
        <f>IFERROR(VLOOKUP(B27,Participantes!$A$6:$B$200,2,FALSE()),"")</f>
        <v>Diego Silva</v>
      </c>
      <c r="D27" s="13" t="s">
        <v>116</v>
      </c>
      <c r="E27" s="20" t="str">
        <f>IFERROR(VLOOKUP(D27,Partidos!$A$6:$C$200,3,FALSE()),"")</f>
        <v>Fase de Grupos</v>
      </c>
      <c r="F27" s="20" t="str">
        <f>IFERROR(VLOOKUP(D27,Partidos!$A$6:$F$200,5,FALSE())&amp;" vs "&amp;VLOOKUP(D27,Partidos!$A$6:$F$200,6,FALSE()),"")</f>
        <v>Haití vs Escocia</v>
      </c>
      <c r="G27" s="13">
        <v>2</v>
      </c>
      <c r="H27" s="13">
        <v>1</v>
      </c>
      <c r="I27" s="20" t="str">
        <f>IF(OR(G27="",H27=""),"",IF(G27&gt;H27,"Gana Local",IF(G27&lt;H27,"Gana Visitante","Empate")))</f>
        <v>Gana Local</v>
      </c>
      <c r="J27" s="21">
        <f>IFERROR(IF(OR(G27="",H27="",VLOOKUP(D27,Partidos!$A$6:$H$200,7,FALSE())="",VLOOKUP(D27,Partidos!$A$6:$H$200,8,FALSE())=""),0,IF(AND(G27=VLOOKUP(D27,Partidos!$A$6:$H$200,7,FALSE()),H27=VLOOKUP(D27,Partidos!$A$6:$H$200,8,FALSE())),Config!$G$4,IF(AND(SIGN(G27-H27)=SIGN(VLOOKUP(D27,Partidos!$A$6:$H$200,7,FALSE())-VLOOKUP(D27,Partidos!$A$6:$H$200,8,FALSE())),(G27-H27)=(VLOOKUP(D27,Partidos!$A$6:$H$200,7,FALSE())-VLOOKUP(D27,Partidos!$A$6:$H$200,8,FALSE()))),Config!$G$5,IF(SIGN(G27-H27)=SIGN(VLOOKUP(D27,Partidos!$A$6:$H$200,7,FALSE())-VLOOKUP(D27,Partidos!$A$6:$H$200,8,FALSE())),Config!$G$6,Config!$G$7)))),0)</f>
        <v>0</v>
      </c>
    </row>
    <row r="28" spans="1:10">
      <c r="A28" s="13" t="s">
        <v>188</v>
      </c>
      <c r="B28" s="13" t="s">
        <v>58</v>
      </c>
      <c r="C28" s="20" t="str">
        <f>IFERROR(VLOOKUP(B28,Participantes!$A$6:$B$200,2,FALSE()),"")</f>
        <v>Diego Silva</v>
      </c>
      <c r="D28" s="13" t="s">
        <v>119</v>
      </c>
      <c r="E28" s="20" t="str">
        <f>IFERROR(VLOOKUP(D28,Partidos!$A$6:$C$200,3,FALSE()),"")</f>
        <v>Fase de Grupos</v>
      </c>
      <c r="F28" s="20" t="str">
        <f>IFERROR(VLOOKUP(D28,Partidos!$A$6:$F$200,5,FALSE())&amp;" vs "&amp;VLOOKUP(D28,Partidos!$A$6:$F$200,6,FALSE()),"")</f>
        <v>Alemania vs Curazao</v>
      </c>
      <c r="G28" s="13">
        <v>3</v>
      </c>
      <c r="H28" s="13">
        <v>0</v>
      </c>
      <c r="I28" s="20" t="str">
        <f>IF(OR(G28="",H28=""),"",IF(G28&gt;H28,"Gana Local",IF(G28&lt;H28,"Gana Visitante","Empate")))</f>
        <v>Gana Local</v>
      </c>
      <c r="J28" s="21">
        <f>IFERROR(IF(OR(G28="",H28="",VLOOKUP(D28,Partidos!$A$6:$H$200,7,FALSE())="",VLOOKUP(D28,Partidos!$A$6:$H$200,8,FALSE())=""),0,IF(AND(G28=VLOOKUP(D28,Partidos!$A$6:$H$200,7,FALSE()),H28=VLOOKUP(D28,Partidos!$A$6:$H$200,8,FALSE())),Config!$G$4,IF(AND(SIGN(G28-H28)=SIGN(VLOOKUP(D28,Partidos!$A$6:$H$200,7,FALSE())-VLOOKUP(D28,Partidos!$A$6:$H$200,8,FALSE())),(G28-H28)=(VLOOKUP(D28,Partidos!$A$6:$H$200,7,FALSE())-VLOOKUP(D28,Partidos!$A$6:$H$200,8,FALSE()))),Config!$G$5,IF(SIGN(G28-H28)=SIGN(VLOOKUP(D28,Partidos!$A$6:$H$200,7,FALSE())-VLOOKUP(D28,Partidos!$A$6:$H$200,8,FALSE())),Config!$G$6,Config!$G$7)))),0)</f>
        <v>5</v>
      </c>
    </row>
    <row r="29" spans="1:10">
      <c r="A29" s="13" t="s">
        <v>189</v>
      </c>
      <c r="B29" s="13" t="s">
        <v>63</v>
      </c>
      <c r="C29" s="20" t="str">
        <f>IFERROR(VLOOKUP(B29,Participantes!$A$6:$B$200,2,FALSE()),"")</f>
        <v>Ana López</v>
      </c>
      <c r="D29" s="13" t="s">
        <v>114</v>
      </c>
      <c r="E29" s="20" t="str">
        <f>IFERROR(VLOOKUP(D29,Partidos!$A$6:$C$200,3,FALSE()),"")</f>
        <v>Fase de Grupos</v>
      </c>
      <c r="F29" s="20" t="str">
        <f>IFERROR(VLOOKUP(D29,Partidos!$A$6:$F$200,5,FALSE())&amp;" vs "&amp;VLOOKUP(D29,Partidos!$A$6:$F$200,6,FALSE()),"")</f>
        <v>Brasil vs Marruecos</v>
      </c>
      <c r="G29" s="13">
        <v>0</v>
      </c>
      <c r="H29" s="13">
        <v>1</v>
      </c>
      <c r="I29" s="20" t="str">
        <f>IF(OR(G29="",H29=""),"",IF(G29&gt;H29,"Gana Local",IF(G29&lt;H29,"Gana Visitante","Empate")))</f>
        <v>Gana Visitante</v>
      </c>
      <c r="J29" s="21">
        <f>IFERROR(IF(OR(G29="",H29="",VLOOKUP(D29,Partidos!$A$6:$H$200,7,FALSE())="",VLOOKUP(D29,Partidos!$A$6:$H$200,8,FALSE())=""),0,IF(AND(G29=VLOOKUP(D29,Partidos!$A$6:$H$200,7,FALSE()),H29=VLOOKUP(D29,Partidos!$A$6:$H$200,8,FALSE())),Config!$G$4,IF(AND(SIGN(G29-H29)=SIGN(VLOOKUP(D29,Partidos!$A$6:$H$200,7,FALSE())-VLOOKUP(D29,Partidos!$A$6:$H$200,8,FALSE())),(G29-H29)=(VLOOKUP(D29,Partidos!$A$6:$H$200,7,FALSE())-VLOOKUP(D29,Partidos!$A$6:$H$200,8,FALSE()))),Config!$G$5,IF(SIGN(G29-H29)=SIGN(VLOOKUP(D29,Partidos!$A$6:$H$200,7,FALSE())-VLOOKUP(D29,Partidos!$A$6:$H$200,8,FALSE())),Config!$G$6,Config!$G$7)))),0)</f>
        <v>3</v>
      </c>
    </row>
    <row r="30" spans="1:10">
      <c r="A30" s="13" t="s">
        <v>190</v>
      </c>
      <c r="B30" s="13" t="s">
        <v>63</v>
      </c>
      <c r="C30" s="20" t="str">
        <f>IFERROR(VLOOKUP(B30,Participantes!$A$6:$B$200,2,FALSE()),"")</f>
        <v>Ana López</v>
      </c>
      <c r="D30" s="13" t="s">
        <v>116</v>
      </c>
      <c r="E30" s="20" t="str">
        <f>IFERROR(VLOOKUP(D30,Partidos!$A$6:$C$200,3,FALSE()),"")</f>
        <v>Fase de Grupos</v>
      </c>
      <c r="F30" s="20" t="str">
        <f>IFERROR(VLOOKUP(D30,Partidos!$A$6:$F$200,5,FALSE())&amp;" vs "&amp;VLOOKUP(D30,Partidos!$A$6:$F$200,6,FALSE()),"")</f>
        <v>Haití vs Escocia</v>
      </c>
      <c r="G30" s="13">
        <v>1</v>
      </c>
      <c r="H30" s="13">
        <v>1</v>
      </c>
      <c r="I30" s="20" t="str">
        <f>IF(OR(G30="",H30=""),"",IF(G30&gt;H30,"Gana Local",IF(G30&lt;H30,"Gana Visitante","Empate")))</f>
        <v>Empate</v>
      </c>
      <c r="J30" s="21">
        <f>IFERROR(IF(OR(G30="",H30="",VLOOKUP(D30,Partidos!$A$6:$H$200,7,FALSE())="",VLOOKUP(D30,Partidos!$A$6:$H$200,8,FALSE())=""),0,IF(AND(G30=VLOOKUP(D30,Partidos!$A$6:$H$200,7,FALSE()),H30=VLOOKUP(D30,Partidos!$A$6:$H$200,8,FALSE())),Config!$G$4,IF(AND(SIGN(G30-H30)=SIGN(VLOOKUP(D30,Partidos!$A$6:$H$200,7,FALSE())-VLOOKUP(D30,Partidos!$A$6:$H$200,8,FALSE())),(G30-H30)=(VLOOKUP(D30,Partidos!$A$6:$H$200,7,FALSE())-VLOOKUP(D30,Partidos!$A$6:$H$200,8,FALSE()))),Config!$G$5,IF(SIGN(G30-H30)=SIGN(VLOOKUP(D30,Partidos!$A$6:$H$200,7,FALSE())-VLOOKUP(D30,Partidos!$A$6:$H$200,8,FALSE())),Config!$G$6,Config!$G$7)))),0)</f>
        <v>0</v>
      </c>
    </row>
    <row r="31" spans="1:10">
      <c r="A31" s="13" t="s">
        <v>191</v>
      </c>
      <c r="B31" s="13" t="s">
        <v>63</v>
      </c>
      <c r="C31" s="20" t="str">
        <f>IFERROR(VLOOKUP(B31,Participantes!$A$6:$B$200,2,FALSE()),"")</f>
        <v>Ana López</v>
      </c>
      <c r="D31" s="13" t="s">
        <v>119</v>
      </c>
      <c r="E31" s="20" t="str">
        <f>IFERROR(VLOOKUP(D31,Partidos!$A$6:$C$200,3,FALSE()),"")</f>
        <v>Fase de Grupos</v>
      </c>
      <c r="F31" s="20" t="str">
        <f>IFERROR(VLOOKUP(D31,Partidos!$A$6:$F$200,5,FALSE())&amp;" vs "&amp;VLOOKUP(D31,Partidos!$A$6:$F$200,6,FALSE()),"")</f>
        <v>Alemania vs Curazao</v>
      </c>
      <c r="G31" s="13">
        <v>2</v>
      </c>
      <c r="H31" s="13">
        <v>2</v>
      </c>
      <c r="I31" s="20" t="str">
        <f>IF(OR(G31="",H31=""),"",IF(G31&gt;H31,"Gana Local",IF(G31&lt;H31,"Gana Visitante","Empate")))</f>
        <v>Empate</v>
      </c>
      <c r="J31" s="21">
        <f>IFERROR(IF(OR(G31="",H31="",VLOOKUP(D31,Partidos!$A$6:$H$200,7,FALSE())="",VLOOKUP(D31,Partidos!$A$6:$H$200,8,FALSE())=""),0,IF(AND(G31=VLOOKUP(D31,Partidos!$A$6:$H$200,7,FALSE()),H31=VLOOKUP(D31,Partidos!$A$6:$H$200,8,FALSE())),Config!$G$4,IF(AND(SIGN(G31-H31)=SIGN(VLOOKUP(D31,Partidos!$A$6:$H$200,7,FALSE())-VLOOKUP(D31,Partidos!$A$6:$H$200,8,FALSE())),(G31-H31)=(VLOOKUP(D31,Partidos!$A$6:$H$200,7,FALSE())-VLOOKUP(D31,Partidos!$A$6:$H$200,8,FALSE()))),Config!$G$5,IF(SIGN(G31-H31)=SIGN(VLOOKUP(D31,Partidos!$A$6:$H$200,7,FALSE())-VLOOKUP(D31,Partidos!$A$6:$H$200,8,FALSE())),Config!$G$6,Config!$G$7)))),0)</f>
        <v>0</v>
      </c>
    </row>
    <row r="32" spans="1:10">
      <c r="A32" s="13" t="s">
        <v>192</v>
      </c>
      <c r="B32" s="13" t="s">
        <v>68</v>
      </c>
      <c r="C32" s="20" t="str">
        <f>IFERROR(VLOOKUP(B32,Participantes!$A$6:$B$200,2,FALSE()),"")</f>
        <v>Martín Fernández</v>
      </c>
      <c r="D32" s="13" t="s">
        <v>114</v>
      </c>
      <c r="E32" s="20" t="str">
        <f>IFERROR(VLOOKUP(D32,Partidos!$A$6:$C$200,3,FALSE()),"")</f>
        <v>Fase de Grupos</v>
      </c>
      <c r="F32" s="20" t="str">
        <f>IFERROR(VLOOKUP(D32,Partidos!$A$6:$F$200,5,FALSE())&amp;" vs "&amp;VLOOKUP(D32,Partidos!$A$6:$F$200,6,FALSE()),"")</f>
        <v>Brasil vs Marruecos</v>
      </c>
      <c r="G32" s="13">
        <v>2</v>
      </c>
      <c r="H32" s="13">
        <v>2</v>
      </c>
      <c r="I32" s="20" t="str">
        <f>IF(OR(G32="",H32=""),"",IF(G32&gt;H32,"Gana Local",IF(G32&lt;H32,"Gana Visitante","Empate")))</f>
        <v>Empate</v>
      </c>
      <c r="J32" s="21">
        <f>IFERROR(IF(OR(G32="",H32="",VLOOKUP(D32,Partidos!$A$6:$H$200,7,FALSE())="",VLOOKUP(D32,Partidos!$A$6:$H$200,8,FALSE())=""),0,IF(AND(G32=VLOOKUP(D32,Partidos!$A$6:$H$200,7,FALSE()),H32=VLOOKUP(D32,Partidos!$A$6:$H$200,8,FALSE())),Config!$G$4,IF(AND(SIGN(G32-H32)=SIGN(VLOOKUP(D32,Partidos!$A$6:$H$200,7,FALSE())-VLOOKUP(D32,Partidos!$A$6:$H$200,8,FALSE())),(G32-H32)=(VLOOKUP(D32,Partidos!$A$6:$H$200,7,FALSE())-VLOOKUP(D32,Partidos!$A$6:$H$200,8,FALSE()))),Config!$G$5,IF(SIGN(G32-H32)=SIGN(VLOOKUP(D32,Partidos!$A$6:$H$200,7,FALSE())-VLOOKUP(D32,Partidos!$A$6:$H$200,8,FALSE())),Config!$G$6,Config!$G$7)))),0)</f>
        <v>0</v>
      </c>
    </row>
    <row r="33" spans="1:10">
      <c r="A33" s="13" t="s">
        <v>193</v>
      </c>
      <c r="B33" s="13" t="s">
        <v>68</v>
      </c>
      <c r="C33" s="20" t="str">
        <f>IFERROR(VLOOKUP(B33,Participantes!$A$6:$B$200,2,FALSE()),"")</f>
        <v>Martín Fernández</v>
      </c>
      <c r="D33" s="13" t="s">
        <v>116</v>
      </c>
      <c r="E33" s="20" t="str">
        <f>IFERROR(VLOOKUP(D33,Partidos!$A$6:$C$200,3,FALSE()),"")</f>
        <v>Fase de Grupos</v>
      </c>
      <c r="F33" s="20" t="str">
        <f>IFERROR(VLOOKUP(D33,Partidos!$A$6:$F$200,5,FALSE())&amp;" vs "&amp;VLOOKUP(D33,Partidos!$A$6:$F$200,6,FALSE()),"")</f>
        <v>Haití vs Escocia</v>
      </c>
      <c r="G33" s="13">
        <v>0</v>
      </c>
      <c r="H33" s="13">
        <v>0</v>
      </c>
      <c r="I33" s="20" t="str">
        <f>IF(OR(G33="",H33=""),"",IF(G33&gt;H33,"Gana Local",IF(G33&lt;H33,"Gana Visitante","Empate")))</f>
        <v>Empate</v>
      </c>
      <c r="J33" s="21">
        <f>IFERROR(IF(OR(G33="",H33="",VLOOKUP(D33,Partidos!$A$6:$H$200,7,FALSE())="",VLOOKUP(D33,Partidos!$A$6:$H$200,8,FALSE())=""),0,IF(AND(G33=VLOOKUP(D33,Partidos!$A$6:$H$200,7,FALSE()),H33=VLOOKUP(D33,Partidos!$A$6:$H$200,8,FALSE())),Config!$G$4,IF(AND(SIGN(G33-H33)=SIGN(VLOOKUP(D33,Partidos!$A$6:$H$200,7,FALSE())-VLOOKUP(D33,Partidos!$A$6:$H$200,8,FALSE())),(G33-H33)=(VLOOKUP(D33,Partidos!$A$6:$H$200,7,FALSE())-VLOOKUP(D33,Partidos!$A$6:$H$200,8,FALSE()))),Config!$G$5,IF(SIGN(G33-H33)=SIGN(VLOOKUP(D33,Partidos!$A$6:$H$200,7,FALSE())-VLOOKUP(D33,Partidos!$A$6:$H$200,8,FALSE())),Config!$G$6,Config!$G$7)))),0)</f>
        <v>0</v>
      </c>
    </row>
    <row r="34" spans="1:10">
      <c r="A34" s="13" t="s">
        <v>194</v>
      </c>
      <c r="B34" s="13" t="s">
        <v>68</v>
      </c>
      <c r="C34" s="20" t="str">
        <f>IFERROR(VLOOKUP(B34,Participantes!$A$6:$B$200,2,FALSE()),"")</f>
        <v>Martín Fernández</v>
      </c>
      <c r="D34" s="13" t="s">
        <v>119</v>
      </c>
      <c r="E34" s="20" t="str">
        <f>IFERROR(VLOOKUP(D34,Partidos!$A$6:$C$200,3,FALSE()),"")</f>
        <v>Fase de Grupos</v>
      </c>
      <c r="F34" s="20" t="str">
        <f>IFERROR(VLOOKUP(D34,Partidos!$A$6:$F$200,5,FALSE())&amp;" vs "&amp;VLOOKUP(D34,Partidos!$A$6:$F$200,6,FALSE()),"")</f>
        <v>Alemania vs Curazao</v>
      </c>
      <c r="G34" s="13">
        <v>4</v>
      </c>
      <c r="H34" s="13">
        <v>1</v>
      </c>
      <c r="I34" s="20" t="str">
        <f>IF(OR(G34="",H34=""),"",IF(G34&gt;H34,"Gana Local",IF(G34&lt;H34,"Gana Visitante","Empate")))</f>
        <v>Gana Local</v>
      </c>
      <c r="J34" s="21">
        <f>IFERROR(IF(OR(G34="",H34="",VLOOKUP(D34,Partidos!$A$6:$H$200,7,FALSE())="",VLOOKUP(D34,Partidos!$A$6:$H$200,8,FALSE())=""),0,IF(AND(G34=VLOOKUP(D34,Partidos!$A$6:$H$200,7,FALSE()),H34=VLOOKUP(D34,Partidos!$A$6:$H$200,8,FALSE())),Config!$G$4,IF(AND(SIGN(G34-H34)=SIGN(VLOOKUP(D34,Partidos!$A$6:$H$200,7,FALSE())-VLOOKUP(D34,Partidos!$A$6:$H$200,8,FALSE())),(G34-H34)=(VLOOKUP(D34,Partidos!$A$6:$H$200,7,FALSE())-VLOOKUP(D34,Partidos!$A$6:$H$200,8,FALSE()))),Config!$G$5,IF(SIGN(G34-H34)=SIGN(VLOOKUP(D34,Partidos!$A$6:$H$200,7,FALSE())-VLOOKUP(D34,Partidos!$A$6:$H$200,8,FALSE())),Config!$G$6,Config!$G$7)))),0)</f>
        <v>3</v>
      </c>
    </row>
    <row r="35" spans="1:10">
      <c r="A35" s="13" t="s">
        <v>195</v>
      </c>
      <c r="B35" s="13" t="s">
        <v>72</v>
      </c>
      <c r="C35" s="20" t="str">
        <f>IFERROR(VLOOKUP(B35,Participantes!$A$6:$B$200,2,FALSE()),"")</f>
        <v>Carolina Díaz</v>
      </c>
      <c r="D35" s="13" t="s">
        <v>97</v>
      </c>
      <c r="E35" s="20" t="str">
        <f>IFERROR(VLOOKUP(D35,Partidos!$A$6:$C$200,3,FALSE()),"")</f>
        <v>Fase de Grupos</v>
      </c>
      <c r="F35" s="20" t="str">
        <f>IFERROR(VLOOKUP(D35,Partidos!$A$6:$F$200,5,FALSE())&amp;" vs "&amp;VLOOKUP(D35,Partidos!$A$6:$F$200,6,FALSE()),"")</f>
        <v>México vs Sudáfrica</v>
      </c>
      <c r="G35" s="13">
        <v>0</v>
      </c>
      <c r="H35" s="13">
        <v>1</v>
      </c>
      <c r="I35" s="20" t="str">
        <f>IF(OR(G35="",H35=""),"",IF(G35&gt;H35,"Gana Local",IF(G35&lt;H35,"Gana Visitante","Empate")))</f>
        <v>Gana Visitante</v>
      </c>
      <c r="J35" s="21">
        <f>IFERROR(IF(OR(G35="",H35="",VLOOKUP(D35,Partidos!$A$6:$H$200,7,FALSE())="",VLOOKUP(D35,Partidos!$A$6:$H$200,8,FALSE())=""),0,IF(AND(G35=VLOOKUP(D35,Partidos!$A$6:$H$200,7,FALSE()),H35=VLOOKUP(D35,Partidos!$A$6:$H$200,8,FALSE())),Config!$G$4,IF(AND(SIGN(G35-H35)=SIGN(VLOOKUP(D35,Partidos!$A$6:$H$200,7,FALSE())-VLOOKUP(D35,Partidos!$A$6:$H$200,8,FALSE())),(G35-H35)=(VLOOKUP(D35,Partidos!$A$6:$H$200,7,FALSE())-VLOOKUP(D35,Partidos!$A$6:$H$200,8,FALSE()))),Config!$G$5,IF(SIGN(G35-H35)=SIGN(VLOOKUP(D35,Partidos!$A$6:$H$200,7,FALSE())-VLOOKUP(D35,Partidos!$A$6:$H$200,8,FALSE())),Config!$G$6,Config!$G$7)))),0)</f>
        <v>0</v>
      </c>
    </row>
    <row r="36" spans="1:10">
      <c r="A36" s="13" t="s">
        <v>196</v>
      </c>
      <c r="B36" s="13" t="s">
        <v>72</v>
      </c>
      <c r="C36" s="20" t="str">
        <f>IFERROR(VLOOKUP(B36,Participantes!$A$6:$B$200,2,FALSE()),"")</f>
        <v>Carolina Díaz</v>
      </c>
      <c r="D36" s="13" t="s">
        <v>102</v>
      </c>
      <c r="E36" s="20" t="str">
        <f>IFERROR(VLOOKUP(D36,Partidos!$A$6:$C$200,3,FALSE()),"")</f>
        <v>Fase de Grupos</v>
      </c>
      <c r="F36" s="20" t="str">
        <f>IFERROR(VLOOKUP(D36,Partidos!$A$6:$F$200,5,FALSE())&amp;" vs "&amp;VLOOKUP(D36,Partidos!$A$6:$F$200,6,FALSE()),"")</f>
        <v>Corea del Sur vs Chequia</v>
      </c>
      <c r="G36" s="13">
        <v>1</v>
      </c>
      <c r="H36" s="13">
        <v>2</v>
      </c>
      <c r="I36" s="20" t="str">
        <f>IF(OR(G36="",H36=""),"",IF(G36&gt;H36,"Gana Local",IF(G36&lt;H36,"Gana Visitante","Empate")))</f>
        <v>Gana Visitante</v>
      </c>
      <c r="J36" s="21">
        <f>IFERROR(IF(OR(G36="",H36="",VLOOKUP(D36,Partidos!$A$6:$H$200,7,FALSE())="",VLOOKUP(D36,Partidos!$A$6:$H$200,8,FALSE())=""),0,IF(AND(G36=VLOOKUP(D36,Partidos!$A$6:$H$200,7,FALSE()),H36=VLOOKUP(D36,Partidos!$A$6:$H$200,8,FALSE())),Config!$G$4,IF(AND(SIGN(G36-H36)=SIGN(VLOOKUP(D36,Partidos!$A$6:$H$200,7,FALSE())-VLOOKUP(D36,Partidos!$A$6:$H$200,8,FALSE())),(G36-H36)=(VLOOKUP(D36,Partidos!$A$6:$H$200,7,FALSE())-VLOOKUP(D36,Partidos!$A$6:$H$200,8,FALSE()))),Config!$G$5,IF(SIGN(G36-H36)=SIGN(VLOOKUP(D36,Partidos!$A$6:$H$200,7,FALSE())-VLOOKUP(D36,Partidos!$A$6:$H$200,8,FALSE())),Config!$G$6,Config!$G$7)))),0)</f>
        <v>0</v>
      </c>
    </row>
    <row r="37" spans="1:10">
      <c r="A37" s="13" t="s">
        <v>197</v>
      </c>
      <c r="B37" s="13" t="s">
        <v>72</v>
      </c>
      <c r="C37" s="20" t="str">
        <f>IFERROR(VLOOKUP(B37,Participantes!$A$6:$B$200,2,FALSE()),"")</f>
        <v>Carolina Díaz</v>
      </c>
      <c r="D37" s="13" t="s">
        <v>119</v>
      </c>
      <c r="E37" s="20" t="str">
        <f>IFERROR(VLOOKUP(D37,Partidos!$A$6:$C$200,3,FALSE()),"")</f>
        <v>Fase de Grupos</v>
      </c>
      <c r="F37" s="20" t="str">
        <f>IFERROR(VLOOKUP(D37,Partidos!$A$6:$F$200,5,FALSE())&amp;" vs "&amp;VLOOKUP(D37,Partidos!$A$6:$F$200,6,FALSE()),"")</f>
        <v>Alemania vs Curazao</v>
      </c>
      <c r="G37" s="13">
        <v>3</v>
      </c>
      <c r="H37" s="13">
        <v>1</v>
      </c>
      <c r="I37" s="20" t="str">
        <f>IF(OR(G37="",H37=""),"",IF(G37&gt;H37,"Gana Local",IF(G37&lt;H37,"Gana Visitante","Empate")))</f>
        <v>Gana Local</v>
      </c>
      <c r="J37" s="21">
        <f>IFERROR(IF(OR(G37="",H37="",VLOOKUP(D37,Partidos!$A$6:$H$200,7,FALSE())="",VLOOKUP(D37,Partidos!$A$6:$H$200,8,FALSE())=""),0,IF(AND(G37=VLOOKUP(D37,Partidos!$A$6:$H$200,7,FALSE()),H37=VLOOKUP(D37,Partidos!$A$6:$H$200,8,FALSE())),Config!$G$4,IF(AND(SIGN(G37-H37)=SIGN(VLOOKUP(D37,Partidos!$A$6:$H$200,7,FALSE())-VLOOKUP(D37,Partidos!$A$6:$H$200,8,FALSE())),(G37-H37)=(VLOOKUP(D37,Partidos!$A$6:$H$200,7,FALSE())-VLOOKUP(D37,Partidos!$A$6:$H$200,8,FALSE()))),Config!$G$5,IF(SIGN(G37-H37)=SIGN(VLOOKUP(D37,Partidos!$A$6:$H$200,7,FALSE())-VLOOKUP(D37,Partidos!$A$6:$H$200,8,FALSE())),Config!$G$6,Config!$G$7)))),0)</f>
        <v>1</v>
      </c>
    </row>
    <row r="38" spans="1:10">
      <c r="A38" s="13" t="s">
        <v>198</v>
      </c>
      <c r="B38" s="13" t="s">
        <v>77</v>
      </c>
      <c r="C38" s="20" t="str">
        <f>IFERROR(VLOOKUP(B38,Participantes!$A$6:$B$200,2,FALSE()),"")</f>
        <v>Federico Romero</v>
      </c>
      <c r="D38" s="13" t="s">
        <v>111</v>
      </c>
      <c r="E38" s="20" t="str">
        <f>IFERROR(VLOOKUP(D38,Partidos!$A$6:$C$200,3,FALSE()),"")</f>
        <v>Fase de Grupos</v>
      </c>
      <c r="F38" s="20" t="str">
        <f>IFERROR(VLOOKUP(D38,Partidos!$A$6:$F$200,5,FALSE())&amp;" vs "&amp;VLOOKUP(D38,Partidos!$A$6:$F$200,6,FALSE()),"")</f>
        <v>Qatar vs Suiza</v>
      </c>
      <c r="G38" s="13">
        <v>1</v>
      </c>
      <c r="H38" s="13">
        <v>1</v>
      </c>
      <c r="I38" s="20" t="str">
        <f>IF(OR(G38="",H38=""),"",IF(G38&gt;H38,"Gana Local",IF(G38&lt;H38,"Gana Visitante","Empate")))</f>
        <v>Empate</v>
      </c>
      <c r="J38" s="21">
        <f>IFERROR(IF(OR(G38="",H38="",VLOOKUP(D38,Partidos!$A$6:$H$200,7,FALSE())="",VLOOKUP(D38,Partidos!$A$6:$H$200,8,FALSE())=""),0,IF(AND(G38=VLOOKUP(D38,Partidos!$A$6:$H$200,7,FALSE()),H38=VLOOKUP(D38,Partidos!$A$6:$H$200,8,FALSE())),Config!$G$4,IF(AND(SIGN(G38-H38)=SIGN(VLOOKUP(D38,Partidos!$A$6:$H$200,7,FALSE())-VLOOKUP(D38,Partidos!$A$6:$H$200,8,FALSE())),(G38-H38)=(VLOOKUP(D38,Partidos!$A$6:$H$200,7,FALSE())-VLOOKUP(D38,Partidos!$A$6:$H$200,8,FALSE()))),Config!$G$5,IF(SIGN(G38-H38)=SIGN(VLOOKUP(D38,Partidos!$A$6:$H$200,7,FALSE())-VLOOKUP(D38,Partidos!$A$6:$H$200,8,FALSE())),Config!$G$6,Config!$G$7)))),0)</f>
        <v>0</v>
      </c>
    </row>
    <row r="39" spans="1:10">
      <c r="A39" s="13" t="s">
        <v>199</v>
      </c>
      <c r="B39" s="13" t="s">
        <v>77</v>
      </c>
      <c r="C39" s="20" t="str">
        <f>IFERROR(VLOOKUP(B39,Participantes!$A$6:$B$200,2,FALSE()),"")</f>
        <v>Federico Romero</v>
      </c>
      <c r="D39" s="13" t="s">
        <v>114</v>
      </c>
      <c r="E39" s="20" t="str">
        <f>IFERROR(VLOOKUP(D39,Partidos!$A$6:$C$200,3,FALSE()),"")</f>
        <v>Fase de Grupos</v>
      </c>
      <c r="F39" s="20" t="str">
        <f>IFERROR(VLOOKUP(D39,Partidos!$A$6:$F$200,5,FALSE())&amp;" vs "&amp;VLOOKUP(D39,Partidos!$A$6:$F$200,6,FALSE()),"")</f>
        <v>Brasil vs Marruecos</v>
      </c>
      <c r="G39" s="13">
        <v>0</v>
      </c>
      <c r="H39" s="13">
        <v>0</v>
      </c>
      <c r="I39" s="20" t="str">
        <f>IF(OR(G39="",H39=""),"",IF(G39&gt;H39,"Gana Local",IF(G39&lt;H39,"Gana Visitante","Empate")))</f>
        <v>Empate</v>
      </c>
      <c r="J39" s="21">
        <f>IFERROR(IF(OR(G39="",H39="",VLOOKUP(D39,Partidos!$A$6:$H$200,7,FALSE())="",VLOOKUP(D39,Partidos!$A$6:$H$200,8,FALSE())=""),0,IF(AND(G39=VLOOKUP(D39,Partidos!$A$6:$H$200,7,FALSE()),H39=VLOOKUP(D39,Partidos!$A$6:$H$200,8,FALSE())),Config!$G$4,IF(AND(SIGN(G39-H39)=SIGN(VLOOKUP(D39,Partidos!$A$6:$H$200,7,FALSE())-VLOOKUP(D39,Partidos!$A$6:$H$200,8,FALSE())),(G39-H39)=(VLOOKUP(D39,Partidos!$A$6:$H$200,7,FALSE())-VLOOKUP(D39,Partidos!$A$6:$H$200,8,FALSE()))),Config!$G$5,IF(SIGN(G39-H39)=SIGN(VLOOKUP(D39,Partidos!$A$6:$H$200,7,FALSE())-VLOOKUP(D39,Partidos!$A$6:$H$200,8,FALSE())),Config!$G$6,Config!$G$7)))),0)</f>
        <v>0</v>
      </c>
    </row>
    <row r="40" spans="1:10">
      <c r="A40" s="13" t="s">
        <v>200</v>
      </c>
      <c r="B40" s="13" t="s">
        <v>77</v>
      </c>
      <c r="C40" s="20" t="str">
        <f>IFERROR(VLOOKUP(B40,Participantes!$A$6:$B$200,2,FALSE()),"")</f>
        <v>Federico Romero</v>
      </c>
      <c r="D40" s="13" t="s">
        <v>119</v>
      </c>
      <c r="E40" s="20" t="str">
        <f>IFERROR(VLOOKUP(D40,Partidos!$A$6:$C$200,3,FALSE()),"")</f>
        <v>Fase de Grupos</v>
      </c>
      <c r="F40" s="20" t="str">
        <f>IFERROR(VLOOKUP(D40,Partidos!$A$6:$F$200,5,FALSE())&amp;" vs "&amp;VLOOKUP(D40,Partidos!$A$6:$F$200,6,FALSE()),"")</f>
        <v>Alemania vs Curazao</v>
      </c>
      <c r="G40" s="13">
        <v>3</v>
      </c>
      <c r="H40" s="13">
        <v>0</v>
      </c>
      <c r="I40" s="20" t="str">
        <f>IF(OR(G40="",H40=""),"",IF(G40&gt;H40,"Gana Local",IF(G40&lt;H40,"Gana Visitante","Empate")))</f>
        <v>Gana Local</v>
      </c>
      <c r="J40" s="21">
        <f>IFERROR(IF(OR(G40="",H40="",VLOOKUP(D40,Partidos!$A$6:$H$200,7,FALSE())="",VLOOKUP(D40,Partidos!$A$6:$H$200,8,FALSE())=""),0,IF(AND(G40=VLOOKUP(D40,Partidos!$A$6:$H$200,7,FALSE()),H40=VLOOKUP(D40,Partidos!$A$6:$H$200,8,FALSE())),Config!$G$4,IF(AND(SIGN(G40-H40)=SIGN(VLOOKUP(D40,Partidos!$A$6:$H$200,7,FALSE())-VLOOKUP(D40,Partidos!$A$6:$H$200,8,FALSE())),(G40-H40)=(VLOOKUP(D40,Partidos!$A$6:$H$200,7,FALSE())-VLOOKUP(D40,Partidos!$A$6:$H$200,8,FALSE()))),Config!$G$5,IF(SIGN(G40-H40)=SIGN(VLOOKUP(D40,Partidos!$A$6:$H$200,7,FALSE())-VLOOKUP(D40,Partidos!$A$6:$H$200,8,FALSE())),Config!$G$6,Config!$G$7)))),0)</f>
        <v>5</v>
      </c>
    </row>
    <row r="41" spans="1:10">
      <c r="A41" s="16"/>
      <c r="B41" s="16"/>
      <c r="D41" s="16"/>
      <c r="G41" s="16"/>
      <c r="H41" s="16"/>
    </row>
    <row r="42" spans="1:10">
      <c r="A42" s="16"/>
      <c r="B42" s="16"/>
      <c r="D42" s="16"/>
      <c r="G42" s="16"/>
      <c r="H42" s="16"/>
    </row>
    <row r="43" spans="1:10">
      <c r="A43" s="16"/>
      <c r="B43" s="16"/>
      <c r="D43" s="16"/>
      <c r="G43" s="16"/>
      <c r="H43" s="16"/>
    </row>
    <row r="44" spans="1:10">
      <c r="A44" s="16"/>
      <c r="B44" s="16"/>
      <c r="D44" s="16"/>
      <c r="G44" s="16"/>
      <c r="H44" s="16"/>
    </row>
    <row r="45" spans="1:10">
      <c r="A45" s="16"/>
      <c r="B45" s="16"/>
      <c r="D45" s="16"/>
      <c r="G45" s="16"/>
      <c r="H45" s="16"/>
    </row>
    <row r="46" spans="1:10">
      <c r="A46" s="16"/>
      <c r="B46" s="16"/>
      <c r="D46" s="16"/>
      <c r="G46" s="16"/>
      <c r="H46" s="16"/>
    </row>
    <row r="47" spans="1:10">
      <c r="A47" s="16"/>
      <c r="B47" s="16"/>
      <c r="D47" s="16"/>
      <c r="G47" s="16"/>
      <c r="H47" s="16"/>
    </row>
    <row r="48" spans="1:10">
      <c r="A48" s="16"/>
      <c r="B48" s="16"/>
      <c r="D48" s="16"/>
      <c r="G48" s="16"/>
      <c r="H48" s="16"/>
    </row>
    <row r="49" spans="1:8">
      <c r="A49" s="16"/>
      <c r="B49" s="16"/>
      <c r="D49" s="16"/>
      <c r="G49" s="16"/>
      <c r="H49" s="16"/>
    </row>
    <row r="50" spans="1:8">
      <c r="A50" s="16"/>
      <c r="B50" s="16"/>
      <c r="D50" s="16"/>
      <c r="G50" s="16"/>
      <c r="H50" s="16"/>
    </row>
    <row r="51" spans="1:8">
      <c r="A51" s="16"/>
      <c r="B51" s="16"/>
      <c r="D51" s="16"/>
      <c r="G51" s="16"/>
      <c r="H51" s="16"/>
    </row>
    <row r="52" spans="1:8">
      <c r="A52" s="16"/>
      <c r="B52" s="16"/>
      <c r="D52" s="16"/>
      <c r="G52" s="16"/>
      <c r="H52" s="16"/>
    </row>
    <row r="53" spans="1:8">
      <c r="A53" s="16"/>
      <c r="B53" s="16"/>
      <c r="D53" s="16"/>
      <c r="G53" s="16"/>
      <c r="H53" s="16"/>
    </row>
    <row r="54" spans="1:8">
      <c r="A54" s="16"/>
      <c r="B54" s="16"/>
      <c r="D54" s="16"/>
      <c r="G54" s="16"/>
      <c r="H54" s="16"/>
    </row>
    <row r="55" spans="1:8">
      <c r="A55" s="16"/>
      <c r="B55" s="16"/>
      <c r="D55" s="16"/>
      <c r="G55" s="16"/>
      <c r="H55" s="16"/>
    </row>
    <row r="56" spans="1:8">
      <c r="A56" s="16"/>
      <c r="B56" s="16"/>
      <c r="D56" s="16"/>
      <c r="G56" s="16"/>
      <c r="H56" s="16"/>
    </row>
    <row r="57" spans="1:8">
      <c r="A57" s="16"/>
      <c r="B57" s="16"/>
      <c r="D57" s="16"/>
      <c r="G57" s="16"/>
      <c r="H57" s="16"/>
    </row>
    <row r="58" spans="1:8">
      <c r="A58" s="16"/>
      <c r="B58" s="16"/>
      <c r="D58" s="16"/>
      <c r="G58" s="16"/>
      <c r="H58" s="16"/>
    </row>
    <row r="59" spans="1:8">
      <c r="A59" s="16"/>
      <c r="B59" s="16"/>
      <c r="D59" s="16"/>
      <c r="G59" s="16"/>
      <c r="H59" s="16"/>
    </row>
    <row r="60" spans="1:8">
      <c r="A60" s="16"/>
      <c r="B60" s="16"/>
      <c r="D60" s="16"/>
      <c r="G60" s="16"/>
      <c r="H60" s="16"/>
    </row>
    <row r="61" spans="1:8">
      <c r="A61" s="16"/>
      <c r="B61" s="16"/>
      <c r="D61" s="16"/>
      <c r="G61" s="16"/>
      <c r="H61" s="16"/>
    </row>
    <row r="62" spans="1:8">
      <c r="A62" s="16"/>
      <c r="B62" s="16"/>
      <c r="D62" s="16"/>
      <c r="G62" s="16"/>
      <c r="H62" s="16"/>
    </row>
    <row r="63" spans="1:8">
      <c r="A63" s="16"/>
      <c r="B63" s="16"/>
      <c r="D63" s="16"/>
      <c r="G63" s="16"/>
      <c r="H63" s="16"/>
    </row>
    <row r="64" spans="1:8">
      <c r="A64" s="16"/>
      <c r="B64" s="16"/>
      <c r="D64" s="16"/>
      <c r="G64" s="16"/>
      <c r="H64" s="16"/>
    </row>
    <row r="65" spans="1:8">
      <c r="A65" s="16"/>
      <c r="B65" s="16"/>
      <c r="D65" s="16"/>
      <c r="G65" s="16"/>
      <c r="H65" s="16"/>
    </row>
    <row r="66" spans="1:8">
      <c r="A66" s="16"/>
      <c r="B66" s="16"/>
      <c r="D66" s="16"/>
      <c r="G66" s="16"/>
      <c r="H66" s="16"/>
    </row>
    <row r="67" spans="1:8">
      <c r="A67" s="16"/>
      <c r="B67" s="16"/>
      <c r="D67" s="16"/>
      <c r="G67" s="16"/>
      <c r="H67" s="16"/>
    </row>
    <row r="68" spans="1:8">
      <c r="A68" s="16"/>
      <c r="B68" s="16"/>
      <c r="D68" s="16"/>
      <c r="G68" s="16"/>
      <c r="H68" s="16"/>
    </row>
    <row r="69" spans="1:8">
      <c r="A69" s="16"/>
      <c r="B69" s="16"/>
      <c r="D69" s="16"/>
      <c r="G69" s="16"/>
      <c r="H69" s="16"/>
    </row>
    <row r="70" spans="1:8">
      <c r="A70" s="16"/>
      <c r="B70" s="16"/>
      <c r="D70" s="16"/>
      <c r="G70" s="16"/>
      <c r="H70" s="16"/>
    </row>
    <row r="71" spans="1:8">
      <c r="A71" s="16"/>
      <c r="B71" s="16"/>
      <c r="D71" s="16"/>
      <c r="G71" s="16"/>
      <c r="H71" s="16"/>
    </row>
    <row r="72" spans="1:8">
      <c r="A72" s="16"/>
      <c r="B72" s="16"/>
      <c r="D72" s="16"/>
      <c r="G72" s="16"/>
      <c r="H72" s="16"/>
    </row>
    <row r="73" spans="1:8">
      <c r="A73" s="16"/>
      <c r="B73" s="16"/>
      <c r="D73" s="16"/>
      <c r="G73" s="16"/>
      <c r="H73" s="16"/>
    </row>
    <row r="74" spans="1:8">
      <c r="A74" s="16"/>
      <c r="B74" s="16"/>
      <c r="D74" s="16"/>
      <c r="G74" s="16"/>
      <c r="H74" s="16"/>
    </row>
    <row r="75" spans="1:8">
      <c r="A75" s="16"/>
      <c r="B75" s="16"/>
      <c r="D75" s="16"/>
      <c r="G75" s="16"/>
      <c r="H75" s="16"/>
    </row>
    <row r="76" spans="1:8">
      <c r="A76" s="16"/>
      <c r="B76" s="16"/>
      <c r="D76" s="16"/>
      <c r="G76" s="16"/>
      <c r="H76" s="16"/>
    </row>
    <row r="77" spans="1:8">
      <c r="A77" s="16"/>
      <c r="B77" s="16"/>
      <c r="D77" s="16"/>
      <c r="G77" s="16"/>
      <c r="H77" s="16"/>
    </row>
    <row r="78" spans="1:8">
      <c r="A78" s="16"/>
      <c r="B78" s="16"/>
      <c r="D78" s="16"/>
      <c r="G78" s="16"/>
      <c r="H78" s="16"/>
    </row>
    <row r="79" spans="1:8">
      <c r="A79" s="16"/>
      <c r="B79" s="16"/>
      <c r="D79" s="16"/>
      <c r="G79" s="16"/>
      <c r="H79" s="16"/>
    </row>
    <row r="80" spans="1:8">
      <c r="A80" s="16"/>
      <c r="B80" s="16"/>
      <c r="D80" s="16"/>
      <c r="G80" s="16"/>
      <c r="H80" s="16"/>
    </row>
    <row r="81" spans="1:8">
      <c r="A81" s="16"/>
      <c r="B81" s="16"/>
      <c r="D81" s="16"/>
      <c r="G81" s="16"/>
      <c r="H81" s="16"/>
    </row>
    <row r="82" spans="1:8">
      <c r="A82" s="16"/>
      <c r="B82" s="16"/>
      <c r="D82" s="16"/>
      <c r="G82" s="16"/>
      <c r="H82" s="16"/>
    </row>
    <row r="83" spans="1:8">
      <c r="A83" s="16"/>
      <c r="B83" s="16"/>
      <c r="D83" s="16"/>
      <c r="G83" s="16"/>
      <c r="H83" s="16"/>
    </row>
    <row r="84" spans="1:8">
      <c r="A84" s="16"/>
      <c r="B84" s="16"/>
      <c r="D84" s="16"/>
      <c r="G84" s="16"/>
      <c r="H84" s="16"/>
    </row>
    <row r="85" spans="1:8">
      <c r="A85" s="16"/>
      <c r="B85" s="16"/>
      <c r="D85" s="16"/>
      <c r="G85" s="16"/>
      <c r="H85" s="16"/>
    </row>
    <row r="86" spans="1:8">
      <c r="A86" s="16"/>
      <c r="B86" s="16"/>
      <c r="D86" s="16"/>
      <c r="G86" s="16"/>
      <c r="H86" s="16"/>
    </row>
    <row r="87" spans="1:8">
      <c r="A87" s="16"/>
      <c r="B87" s="16"/>
      <c r="D87" s="16"/>
      <c r="G87" s="16"/>
      <c r="H87" s="16"/>
    </row>
    <row r="88" spans="1:8">
      <c r="A88" s="16"/>
      <c r="B88" s="16"/>
      <c r="D88" s="16"/>
      <c r="G88" s="16"/>
      <c r="H88" s="16"/>
    </row>
    <row r="89" spans="1:8">
      <c r="A89" s="16"/>
      <c r="B89" s="16"/>
      <c r="D89" s="16"/>
      <c r="G89" s="16"/>
      <c r="H89" s="16"/>
    </row>
    <row r="90" spans="1:8">
      <c r="A90" s="16"/>
      <c r="B90" s="16"/>
      <c r="D90" s="16"/>
      <c r="G90" s="16"/>
      <c r="H90" s="16"/>
    </row>
    <row r="91" spans="1:8">
      <c r="A91" s="16"/>
      <c r="B91" s="16"/>
      <c r="D91" s="16"/>
      <c r="G91" s="16"/>
      <c r="H91" s="16"/>
    </row>
    <row r="92" spans="1:8">
      <c r="A92" s="16"/>
      <c r="B92" s="16"/>
      <c r="D92" s="16"/>
      <c r="G92" s="16"/>
      <c r="H92" s="16"/>
    </row>
    <row r="93" spans="1:8">
      <c r="A93" s="16"/>
      <c r="B93" s="16"/>
      <c r="D93" s="16"/>
      <c r="G93" s="16"/>
      <c r="H93" s="16"/>
    </row>
    <row r="94" spans="1:8">
      <c r="A94" s="16"/>
      <c r="B94" s="16"/>
      <c r="D94" s="16"/>
      <c r="G94" s="16"/>
      <c r="H94" s="16"/>
    </row>
    <row r="95" spans="1:8">
      <c r="A95" s="16"/>
      <c r="B95" s="16"/>
      <c r="D95" s="16"/>
      <c r="G95" s="16"/>
      <c r="H95" s="16"/>
    </row>
    <row r="96" spans="1:8">
      <c r="A96" s="16"/>
      <c r="B96" s="16"/>
      <c r="D96" s="16"/>
      <c r="G96" s="16"/>
      <c r="H96" s="16"/>
    </row>
    <row r="97" spans="1:8">
      <c r="A97" s="16"/>
      <c r="B97" s="16"/>
      <c r="D97" s="16"/>
      <c r="G97" s="16"/>
      <c r="H97" s="16"/>
    </row>
    <row r="98" spans="1:8">
      <c r="A98" s="16"/>
      <c r="B98" s="16"/>
      <c r="D98" s="16"/>
      <c r="G98" s="16"/>
      <c r="H98" s="16"/>
    </row>
    <row r="99" spans="1:8">
      <c r="A99" s="16"/>
      <c r="B99" s="16"/>
      <c r="D99" s="16"/>
      <c r="G99" s="16"/>
      <c r="H99" s="16"/>
    </row>
    <row r="100" spans="1:8">
      <c r="A100" s="16"/>
      <c r="B100" s="16"/>
      <c r="D100" s="16"/>
      <c r="G100" s="16"/>
      <c r="H100" s="16"/>
    </row>
    <row r="101" spans="1:8">
      <c r="A101" s="16"/>
      <c r="B101" s="16"/>
      <c r="D101" s="16"/>
      <c r="G101" s="16"/>
      <c r="H101" s="16"/>
    </row>
    <row r="102" spans="1:8">
      <c r="A102" s="16"/>
      <c r="B102" s="16"/>
      <c r="D102" s="16"/>
      <c r="G102" s="16"/>
      <c r="H102" s="16"/>
    </row>
    <row r="103" spans="1:8">
      <c r="A103" s="16"/>
      <c r="B103" s="16"/>
      <c r="D103" s="16"/>
      <c r="G103" s="16"/>
      <c r="H103" s="16"/>
    </row>
    <row r="104" spans="1:8">
      <c r="A104" s="16"/>
      <c r="B104" s="16"/>
      <c r="D104" s="16"/>
      <c r="G104" s="16"/>
      <c r="H104" s="16"/>
    </row>
    <row r="105" spans="1:8">
      <c r="A105" s="16"/>
      <c r="B105" s="16"/>
      <c r="D105" s="16"/>
      <c r="G105" s="16"/>
      <c r="H105" s="16"/>
    </row>
    <row r="106" spans="1:8">
      <c r="A106" s="16"/>
      <c r="B106" s="16"/>
      <c r="D106" s="16"/>
      <c r="G106" s="16"/>
      <c r="H106" s="16"/>
    </row>
    <row r="107" spans="1:8">
      <c r="A107" s="16"/>
      <c r="B107" s="16"/>
      <c r="D107" s="16"/>
      <c r="G107" s="16"/>
      <c r="H107" s="16"/>
    </row>
    <row r="108" spans="1:8">
      <c r="A108" s="16"/>
      <c r="B108" s="16"/>
      <c r="D108" s="16"/>
      <c r="G108" s="16"/>
      <c r="H108" s="16"/>
    </row>
    <row r="109" spans="1:8">
      <c r="A109" s="16"/>
      <c r="B109" s="16"/>
      <c r="D109" s="16"/>
      <c r="G109" s="16"/>
      <c r="H109" s="16"/>
    </row>
    <row r="110" spans="1:8">
      <c r="A110" s="16"/>
      <c r="B110" s="16"/>
      <c r="D110" s="16"/>
      <c r="G110" s="16"/>
      <c r="H110" s="16"/>
    </row>
    <row r="111" spans="1:8">
      <c r="A111" s="16"/>
      <c r="B111" s="16"/>
      <c r="D111" s="16"/>
      <c r="G111" s="16"/>
      <c r="H111" s="16"/>
    </row>
    <row r="112" spans="1:8">
      <c r="A112" s="16"/>
      <c r="B112" s="16"/>
      <c r="D112" s="16"/>
      <c r="G112" s="16"/>
      <c r="H112" s="16"/>
    </row>
    <row r="113" spans="1:8">
      <c r="A113" s="16"/>
      <c r="B113" s="16"/>
      <c r="D113" s="16"/>
      <c r="G113" s="16"/>
      <c r="H113" s="16"/>
    </row>
    <row r="114" spans="1:8">
      <c r="A114" s="16"/>
      <c r="B114" s="16"/>
      <c r="D114" s="16"/>
      <c r="G114" s="16"/>
      <c r="H114" s="16"/>
    </row>
    <row r="115" spans="1:8">
      <c r="A115" s="16"/>
      <c r="B115" s="16"/>
      <c r="D115" s="16"/>
      <c r="G115" s="16"/>
      <c r="H115" s="16"/>
    </row>
    <row r="116" spans="1:8">
      <c r="A116" s="16"/>
      <c r="B116" s="16"/>
      <c r="D116" s="16"/>
      <c r="G116" s="16"/>
      <c r="H116" s="16"/>
    </row>
    <row r="117" spans="1:8">
      <c r="A117" s="16"/>
      <c r="B117" s="16"/>
      <c r="D117" s="16"/>
      <c r="G117" s="16"/>
      <c r="H117" s="16"/>
    </row>
    <row r="118" spans="1:8">
      <c r="A118" s="16"/>
      <c r="B118" s="16"/>
      <c r="D118" s="16"/>
      <c r="G118" s="16"/>
      <c r="H118" s="16"/>
    </row>
    <row r="119" spans="1:8">
      <c r="A119" s="16"/>
      <c r="B119" s="16"/>
      <c r="D119" s="16"/>
      <c r="G119" s="16"/>
      <c r="H119" s="16"/>
    </row>
    <row r="120" spans="1:8">
      <c r="A120" s="16"/>
      <c r="B120" s="16"/>
      <c r="D120" s="16"/>
      <c r="G120" s="16"/>
      <c r="H120" s="16"/>
    </row>
    <row r="121" spans="1:8">
      <c r="A121" s="16"/>
      <c r="B121" s="16"/>
      <c r="D121" s="16"/>
      <c r="G121" s="16"/>
      <c r="H121" s="16"/>
    </row>
    <row r="122" spans="1:8">
      <c r="A122" s="16"/>
      <c r="B122" s="16"/>
      <c r="D122" s="16"/>
      <c r="G122" s="16"/>
      <c r="H122" s="16"/>
    </row>
    <row r="123" spans="1:8">
      <c r="A123" s="16"/>
      <c r="B123" s="16"/>
      <c r="D123" s="16"/>
      <c r="G123" s="16"/>
      <c r="H123" s="16"/>
    </row>
    <row r="124" spans="1:8">
      <c r="A124" s="16"/>
      <c r="B124" s="16"/>
      <c r="D124" s="16"/>
      <c r="G124" s="16"/>
      <c r="H124" s="16"/>
    </row>
    <row r="125" spans="1:8">
      <c r="A125" s="16"/>
      <c r="B125" s="16"/>
      <c r="D125" s="16"/>
      <c r="G125" s="16"/>
      <c r="H125" s="16"/>
    </row>
    <row r="126" spans="1:8">
      <c r="A126" s="16"/>
      <c r="B126" s="16"/>
      <c r="D126" s="16"/>
      <c r="G126" s="16"/>
      <c r="H126" s="16"/>
    </row>
    <row r="127" spans="1:8">
      <c r="A127" s="16"/>
      <c r="B127" s="16"/>
      <c r="D127" s="16"/>
      <c r="G127" s="16"/>
      <c r="H127" s="16"/>
    </row>
    <row r="128" spans="1:8">
      <c r="A128" s="16"/>
      <c r="B128" s="16"/>
      <c r="D128" s="16"/>
      <c r="G128" s="16"/>
      <c r="H128" s="16"/>
    </row>
    <row r="129" spans="1:8">
      <c r="A129" s="16"/>
      <c r="B129" s="16"/>
      <c r="D129" s="16"/>
      <c r="G129" s="16"/>
      <c r="H129" s="16"/>
    </row>
    <row r="130" spans="1:8">
      <c r="A130" s="16"/>
      <c r="B130" s="16"/>
      <c r="D130" s="16"/>
      <c r="G130" s="16"/>
      <c r="H130" s="16"/>
    </row>
    <row r="131" spans="1:8">
      <c r="A131" s="16"/>
      <c r="B131" s="16"/>
      <c r="D131" s="16"/>
      <c r="G131" s="16"/>
      <c r="H131" s="16"/>
    </row>
    <row r="132" spans="1:8">
      <c r="A132" s="16"/>
      <c r="B132" s="16"/>
      <c r="D132" s="16"/>
      <c r="G132" s="16"/>
      <c r="H132" s="16"/>
    </row>
    <row r="133" spans="1:8">
      <c r="A133" s="16"/>
      <c r="B133" s="16"/>
      <c r="D133" s="16"/>
      <c r="G133" s="16"/>
      <c r="H133" s="16"/>
    </row>
    <row r="134" spans="1:8">
      <c r="A134" s="16"/>
      <c r="B134" s="16"/>
      <c r="D134" s="16"/>
      <c r="G134" s="16"/>
      <c r="H134" s="16"/>
    </row>
    <row r="135" spans="1:8">
      <c r="A135" s="16"/>
      <c r="B135" s="16"/>
      <c r="D135" s="16"/>
      <c r="G135" s="16"/>
      <c r="H135" s="16"/>
    </row>
    <row r="136" spans="1:8">
      <c r="A136" s="16"/>
      <c r="B136" s="16"/>
      <c r="D136" s="16"/>
      <c r="G136" s="16"/>
      <c r="H136" s="16"/>
    </row>
    <row r="137" spans="1:8">
      <c r="A137" s="16"/>
      <c r="B137" s="16"/>
      <c r="D137" s="16"/>
      <c r="G137" s="16"/>
      <c r="H137" s="16"/>
    </row>
    <row r="138" spans="1:8">
      <c r="A138" s="16"/>
      <c r="B138" s="16"/>
      <c r="D138" s="16"/>
      <c r="G138" s="16"/>
      <c r="H138" s="16"/>
    </row>
    <row r="139" spans="1:8">
      <c r="A139" s="16"/>
      <c r="B139" s="16"/>
      <c r="D139" s="16"/>
      <c r="G139" s="16"/>
      <c r="H139" s="16"/>
    </row>
    <row r="140" spans="1:8">
      <c r="A140" s="16"/>
      <c r="B140" s="16"/>
      <c r="D140" s="16"/>
      <c r="G140" s="16"/>
      <c r="H140" s="16"/>
    </row>
    <row r="141" spans="1:8">
      <c r="A141" s="16"/>
      <c r="B141" s="16"/>
      <c r="D141" s="16"/>
      <c r="G141" s="16"/>
      <c r="H141" s="16"/>
    </row>
    <row r="142" spans="1:8">
      <c r="A142" s="16"/>
      <c r="B142" s="16"/>
      <c r="D142" s="16"/>
      <c r="G142" s="16"/>
      <c r="H142" s="16"/>
    </row>
    <row r="143" spans="1:8">
      <c r="A143" s="16"/>
      <c r="B143" s="16"/>
      <c r="D143" s="16"/>
      <c r="G143" s="16"/>
      <c r="H143" s="16"/>
    </row>
    <row r="144" spans="1:8">
      <c r="A144" s="16"/>
      <c r="B144" s="16"/>
      <c r="D144" s="16"/>
      <c r="G144" s="16"/>
      <c r="H144" s="16"/>
    </row>
    <row r="145" spans="1:8">
      <c r="A145" s="16"/>
      <c r="B145" s="16"/>
      <c r="D145" s="16"/>
      <c r="G145" s="16"/>
      <c r="H145" s="16"/>
    </row>
    <row r="146" spans="1:8">
      <c r="A146" s="16"/>
      <c r="B146" s="16"/>
      <c r="D146" s="16"/>
      <c r="G146" s="16"/>
      <c r="H146" s="16"/>
    </row>
    <row r="147" spans="1:8">
      <c r="A147" s="16"/>
      <c r="B147" s="16"/>
      <c r="D147" s="16"/>
      <c r="G147" s="16"/>
      <c r="H147" s="16"/>
    </row>
    <row r="148" spans="1:8">
      <c r="A148" s="16"/>
      <c r="B148" s="16"/>
      <c r="D148" s="16"/>
      <c r="G148" s="16"/>
      <c r="H148" s="16"/>
    </row>
    <row r="149" spans="1:8">
      <c r="A149" s="16"/>
      <c r="B149" s="16"/>
      <c r="D149" s="16"/>
      <c r="G149" s="16"/>
      <c r="H149" s="16"/>
    </row>
    <row r="150" spans="1:8">
      <c r="A150" s="16"/>
      <c r="B150" s="16"/>
      <c r="D150" s="16"/>
      <c r="G150" s="16"/>
      <c r="H150" s="16"/>
    </row>
    <row r="151" spans="1:8">
      <c r="A151" s="16"/>
      <c r="B151" s="16"/>
      <c r="D151" s="16"/>
      <c r="G151" s="16"/>
      <c r="H151" s="16"/>
    </row>
    <row r="152" spans="1:8">
      <c r="A152" s="16"/>
      <c r="B152" s="16"/>
      <c r="D152" s="16"/>
      <c r="G152" s="16"/>
      <c r="H152" s="16"/>
    </row>
    <row r="153" spans="1:8">
      <c r="A153" s="16"/>
      <c r="B153" s="16"/>
      <c r="D153" s="16"/>
      <c r="G153" s="16"/>
      <c r="H153" s="16"/>
    </row>
    <row r="154" spans="1:8">
      <c r="A154" s="16"/>
      <c r="B154" s="16"/>
      <c r="D154" s="16"/>
      <c r="G154" s="16"/>
      <c r="H154" s="16"/>
    </row>
    <row r="155" spans="1:8">
      <c r="A155" s="16"/>
      <c r="B155" s="16"/>
      <c r="D155" s="16"/>
      <c r="G155" s="16"/>
      <c r="H155" s="16"/>
    </row>
    <row r="156" spans="1:8">
      <c r="A156" s="16"/>
      <c r="B156" s="16"/>
      <c r="D156" s="16"/>
      <c r="G156" s="16"/>
      <c r="H156" s="16"/>
    </row>
    <row r="157" spans="1:8">
      <c r="A157" s="16"/>
      <c r="B157" s="16"/>
      <c r="D157" s="16"/>
      <c r="G157" s="16"/>
      <c r="H157" s="16"/>
    </row>
    <row r="158" spans="1:8">
      <c r="A158" s="16"/>
      <c r="B158" s="16"/>
      <c r="D158" s="16"/>
      <c r="G158" s="16"/>
      <c r="H158" s="16"/>
    </row>
    <row r="159" spans="1:8">
      <c r="A159" s="16"/>
      <c r="B159" s="16"/>
      <c r="D159" s="16"/>
      <c r="G159" s="16"/>
      <c r="H159" s="16"/>
    </row>
    <row r="160" spans="1:8">
      <c r="A160" s="16"/>
      <c r="B160" s="16"/>
      <c r="D160" s="16"/>
      <c r="G160" s="16"/>
      <c r="H160" s="16"/>
    </row>
    <row r="161" spans="1:8">
      <c r="A161" s="16"/>
      <c r="B161" s="16"/>
      <c r="D161" s="16"/>
      <c r="G161" s="16"/>
      <c r="H161" s="16"/>
    </row>
    <row r="162" spans="1:8">
      <c r="A162" s="16"/>
      <c r="B162" s="16"/>
      <c r="D162" s="16"/>
      <c r="G162" s="16"/>
      <c r="H162" s="16"/>
    </row>
    <row r="163" spans="1:8">
      <c r="A163" s="16"/>
      <c r="B163" s="16"/>
      <c r="D163" s="16"/>
      <c r="G163" s="16"/>
      <c r="H163" s="16"/>
    </row>
    <row r="164" spans="1:8">
      <c r="A164" s="16"/>
      <c r="B164" s="16"/>
      <c r="D164" s="16"/>
      <c r="G164" s="16"/>
      <c r="H164" s="16"/>
    </row>
    <row r="165" spans="1:8">
      <c r="A165" s="16"/>
      <c r="B165" s="16"/>
      <c r="D165" s="16"/>
      <c r="G165" s="16"/>
      <c r="H165" s="16"/>
    </row>
    <row r="166" spans="1:8">
      <c r="A166" s="16"/>
      <c r="B166" s="16"/>
      <c r="D166" s="16"/>
      <c r="G166" s="16"/>
      <c r="H166" s="16"/>
    </row>
    <row r="167" spans="1:8">
      <c r="A167" s="16"/>
      <c r="B167" s="16"/>
      <c r="D167" s="16"/>
      <c r="G167" s="16"/>
      <c r="H167" s="16"/>
    </row>
    <row r="168" spans="1:8">
      <c r="A168" s="16"/>
      <c r="B168" s="16"/>
      <c r="D168" s="16"/>
      <c r="G168" s="16"/>
      <c r="H168" s="16"/>
    </row>
    <row r="169" spans="1:8">
      <c r="A169" s="16"/>
      <c r="B169" s="16"/>
      <c r="D169" s="16"/>
      <c r="G169" s="16"/>
      <c r="H169" s="16"/>
    </row>
    <row r="170" spans="1:8">
      <c r="A170" s="16"/>
      <c r="B170" s="16"/>
      <c r="D170" s="16"/>
      <c r="G170" s="16"/>
      <c r="H170" s="16"/>
    </row>
    <row r="171" spans="1:8">
      <c r="A171" s="16"/>
      <c r="B171" s="16"/>
      <c r="D171" s="16"/>
      <c r="G171" s="16"/>
      <c r="H171" s="16"/>
    </row>
    <row r="172" spans="1:8">
      <c r="A172" s="16"/>
      <c r="B172" s="16"/>
      <c r="D172" s="16"/>
      <c r="G172" s="16"/>
      <c r="H172" s="16"/>
    </row>
    <row r="173" spans="1:8">
      <c r="A173" s="16"/>
      <c r="B173" s="16"/>
      <c r="D173" s="16"/>
      <c r="G173" s="16"/>
      <c r="H173" s="16"/>
    </row>
    <row r="174" spans="1:8">
      <c r="A174" s="16"/>
      <c r="B174" s="16"/>
      <c r="D174" s="16"/>
      <c r="G174" s="16"/>
      <c r="H174" s="16"/>
    </row>
    <row r="175" spans="1:8">
      <c r="A175" s="16"/>
      <c r="B175" s="16"/>
      <c r="D175" s="16"/>
      <c r="G175" s="16"/>
      <c r="H175" s="16"/>
    </row>
    <row r="176" spans="1:8">
      <c r="A176" s="16"/>
      <c r="B176" s="16"/>
      <c r="D176" s="16"/>
      <c r="G176" s="16"/>
      <c r="H176" s="16"/>
    </row>
    <row r="177" spans="1:8">
      <c r="A177" s="16"/>
      <c r="B177" s="16"/>
      <c r="D177" s="16"/>
      <c r="G177" s="16"/>
      <c r="H177" s="16"/>
    </row>
    <row r="178" spans="1:8">
      <c r="A178" s="16"/>
      <c r="B178" s="16"/>
      <c r="D178" s="16"/>
      <c r="G178" s="16"/>
      <c r="H178" s="16"/>
    </row>
    <row r="179" spans="1:8">
      <c r="A179" s="16"/>
      <c r="B179" s="16"/>
      <c r="D179" s="16"/>
      <c r="G179" s="16"/>
      <c r="H179" s="16"/>
    </row>
    <row r="180" spans="1:8">
      <c r="A180" s="16"/>
      <c r="B180" s="16"/>
      <c r="D180" s="16"/>
      <c r="G180" s="16"/>
      <c r="H180" s="16"/>
    </row>
    <row r="181" spans="1:8">
      <c r="A181" s="16"/>
      <c r="B181" s="16"/>
      <c r="D181" s="16"/>
      <c r="G181" s="16"/>
      <c r="H181" s="16"/>
    </row>
    <row r="182" spans="1:8">
      <c r="A182" s="16"/>
      <c r="B182" s="16"/>
      <c r="D182" s="16"/>
      <c r="G182" s="16"/>
      <c r="H182" s="16"/>
    </row>
    <row r="183" spans="1:8">
      <c r="A183" s="16"/>
      <c r="B183" s="16"/>
      <c r="D183" s="16"/>
      <c r="G183" s="16"/>
      <c r="H183" s="16"/>
    </row>
    <row r="184" spans="1:8">
      <c r="A184" s="16"/>
      <c r="B184" s="16"/>
      <c r="D184" s="16"/>
      <c r="G184" s="16"/>
      <c r="H184" s="16"/>
    </row>
    <row r="185" spans="1:8">
      <c r="A185" s="16"/>
      <c r="B185" s="16"/>
      <c r="D185" s="16"/>
      <c r="G185" s="16"/>
      <c r="H185" s="16"/>
    </row>
    <row r="186" spans="1:8">
      <c r="A186" s="16"/>
      <c r="B186" s="16"/>
      <c r="D186" s="16"/>
      <c r="G186" s="16"/>
      <c r="H186" s="16"/>
    </row>
    <row r="187" spans="1:8">
      <c r="A187" s="16"/>
      <c r="B187" s="16"/>
      <c r="D187" s="16"/>
      <c r="G187" s="16"/>
      <c r="H187" s="16"/>
    </row>
    <row r="188" spans="1:8">
      <c r="A188" s="16"/>
      <c r="B188" s="16"/>
      <c r="D188" s="16"/>
      <c r="G188" s="16"/>
      <c r="H188" s="16"/>
    </row>
    <row r="189" spans="1:8">
      <c r="A189" s="16"/>
      <c r="B189" s="16"/>
      <c r="D189" s="16"/>
      <c r="G189" s="16"/>
      <c r="H189" s="16"/>
    </row>
    <row r="190" spans="1:8">
      <c r="A190" s="16"/>
      <c r="B190" s="16"/>
      <c r="D190" s="16"/>
      <c r="G190" s="16"/>
      <c r="H190" s="16"/>
    </row>
    <row r="191" spans="1:8">
      <c r="A191" s="16"/>
      <c r="B191" s="16"/>
      <c r="D191" s="16"/>
      <c r="G191" s="16"/>
      <c r="H191" s="16"/>
    </row>
    <row r="192" spans="1:8">
      <c r="A192" s="16"/>
      <c r="B192" s="16"/>
      <c r="D192" s="16"/>
      <c r="G192" s="16"/>
      <c r="H192" s="16"/>
    </row>
    <row r="193" spans="1:8">
      <c r="A193" s="16"/>
      <c r="B193" s="16"/>
      <c r="D193" s="16"/>
      <c r="G193" s="16"/>
      <c r="H193" s="16"/>
    </row>
    <row r="194" spans="1:8">
      <c r="A194" s="16"/>
      <c r="B194" s="16"/>
      <c r="D194" s="16"/>
      <c r="G194" s="16"/>
      <c r="H194" s="16"/>
    </row>
    <row r="195" spans="1:8">
      <c r="A195" s="16"/>
      <c r="B195" s="16"/>
      <c r="D195" s="16"/>
      <c r="G195" s="16"/>
      <c r="H195" s="16"/>
    </row>
    <row r="196" spans="1:8">
      <c r="A196" s="16"/>
      <c r="B196" s="16"/>
      <c r="D196" s="16"/>
      <c r="G196" s="16"/>
      <c r="H196" s="16"/>
    </row>
    <row r="197" spans="1:8">
      <c r="A197" s="16"/>
      <c r="B197" s="16"/>
      <c r="D197" s="16"/>
      <c r="G197" s="16"/>
      <c r="H197" s="16"/>
    </row>
    <row r="198" spans="1:8">
      <c r="A198" s="16"/>
      <c r="B198" s="16"/>
      <c r="D198" s="16"/>
      <c r="G198" s="16"/>
      <c r="H198" s="16"/>
    </row>
    <row r="199" spans="1:8">
      <c r="A199" s="16"/>
      <c r="B199" s="16"/>
      <c r="D199" s="16"/>
      <c r="G199" s="16"/>
      <c r="H199" s="16"/>
    </row>
    <row r="200" spans="1:8">
      <c r="A200" s="16"/>
      <c r="B200" s="16"/>
      <c r="D200" s="16"/>
      <c r="G200" s="16"/>
      <c r="H200" s="16"/>
    </row>
    <row r="201" spans="1:8">
      <c r="A201" s="16"/>
      <c r="B201" s="16"/>
      <c r="D201" s="16"/>
      <c r="G201" s="16"/>
      <c r="H201" s="16"/>
    </row>
    <row r="202" spans="1:8">
      <c r="A202" s="16"/>
      <c r="B202" s="16"/>
      <c r="D202" s="16"/>
      <c r="G202" s="16"/>
      <c r="H202" s="16"/>
    </row>
    <row r="203" spans="1:8">
      <c r="A203" s="16"/>
      <c r="B203" s="16"/>
      <c r="D203" s="16"/>
      <c r="G203" s="16"/>
      <c r="H203" s="16"/>
    </row>
    <row r="204" spans="1:8">
      <c r="A204" s="16"/>
      <c r="B204" s="16"/>
      <c r="D204" s="16"/>
      <c r="G204" s="16"/>
      <c r="H204" s="16"/>
    </row>
    <row r="205" spans="1:8">
      <c r="A205" s="16"/>
      <c r="B205" s="16"/>
      <c r="D205" s="16"/>
      <c r="G205" s="16"/>
      <c r="H205" s="16"/>
    </row>
    <row r="206" spans="1:8">
      <c r="A206" s="16"/>
      <c r="B206" s="16"/>
      <c r="D206" s="16"/>
      <c r="G206" s="16"/>
      <c r="H206" s="16"/>
    </row>
    <row r="207" spans="1:8">
      <c r="A207" s="16"/>
      <c r="B207" s="16"/>
      <c r="D207" s="16"/>
      <c r="G207" s="16"/>
      <c r="H207" s="16"/>
    </row>
    <row r="208" spans="1:8">
      <c r="A208" s="16"/>
      <c r="B208" s="16"/>
      <c r="D208" s="16"/>
      <c r="G208" s="16"/>
      <c r="H208" s="16"/>
    </row>
    <row r="209" spans="1:8">
      <c r="A209" s="16"/>
      <c r="B209" s="16"/>
      <c r="D209" s="16"/>
      <c r="G209" s="16"/>
      <c r="H209" s="16"/>
    </row>
    <row r="210" spans="1:8">
      <c r="A210" s="16"/>
      <c r="B210" s="16"/>
      <c r="D210" s="16"/>
      <c r="G210" s="16"/>
      <c r="H210" s="16"/>
    </row>
    <row r="211" spans="1:8">
      <c r="A211" s="16"/>
      <c r="B211" s="16"/>
      <c r="D211" s="16"/>
      <c r="G211" s="16"/>
      <c r="H211" s="16"/>
    </row>
    <row r="212" spans="1:8">
      <c r="A212" s="16"/>
      <c r="B212" s="16"/>
      <c r="D212" s="16"/>
      <c r="G212" s="16"/>
      <c r="H212" s="16"/>
    </row>
    <row r="213" spans="1:8">
      <c r="A213" s="16"/>
      <c r="B213" s="16"/>
      <c r="D213" s="16"/>
      <c r="G213" s="16"/>
      <c r="H213" s="16"/>
    </row>
    <row r="214" spans="1:8">
      <c r="A214" s="16"/>
      <c r="B214" s="16"/>
      <c r="D214" s="16"/>
      <c r="G214" s="16"/>
      <c r="H214" s="16"/>
    </row>
    <row r="215" spans="1:8">
      <c r="A215" s="16"/>
      <c r="B215" s="16"/>
      <c r="D215" s="16"/>
      <c r="G215" s="16"/>
      <c r="H215" s="16"/>
    </row>
    <row r="216" spans="1:8">
      <c r="A216" s="16"/>
      <c r="B216" s="16"/>
      <c r="D216" s="16"/>
      <c r="G216" s="16"/>
      <c r="H216" s="16"/>
    </row>
    <row r="217" spans="1:8">
      <c r="A217" s="16"/>
      <c r="B217" s="16"/>
      <c r="D217" s="16"/>
      <c r="G217" s="16"/>
      <c r="H217" s="16"/>
    </row>
    <row r="218" spans="1:8">
      <c r="A218" s="16"/>
      <c r="B218" s="16"/>
      <c r="D218" s="16"/>
      <c r="G218" s="16"/>
      <c r="H218" s="16"/>
    </row>
    <row r="219" spans="1:8">
      <c r="A219" s="16"/>
      <c r="B219" s="16"/>
      <c r="D219" s="16"/>
      <c r="G219" s="16"/>
      <c r="H219" s="16"/>
    </row>
    <row r="220" spans="1:8">
      <c r="A220" s="16"/>
      <c r="B220" s="16"/>
      <c r="D220" s="16"/>
      <c r="G220" s="16"/>
      <c r="H220" s="16"/>
    </row>
    <row r="221" spans="1:8">
      <c r="A221" s="16"/>
      <c r="B221" s="16"/>
      <c r="D221" s="16"/>
      <c r="G221" s="16"/>
      <c r="H221" s="16"/>
    </row>
    <row r="222" spans="1:8">
      <c r="A222" s="16"/>
      <c r="B222" s="16"/>
      <c r="D222" s="16"/>
      <c r="G222" s="16"/>
      <c r="H222" s="16"/>
    </row>
    <row r="223" spans="1:8">
      <c r="A223" s="16"/>
      <c r="B223" s="16"/>
      <c r="D223" s="16"/>
      <c r="G223" s="16"/>
      <c r="H223" s="16"/>
    </row>
    <row r="224" spans="1:8">
      <c r="A224" s="16"/>
      <c r="B224" s="16"/>
      <c r="D224" s="16"/>
      <c r="G224" s="16"/>
      <c r="H224" s="16"/>
    </row>
    <row r="225" spans="1:8">
      <c r="A225" s="16"/>
      <c r="B225" s="16"/>
      <c r="D225" s="16"/>
      <c r="G225" s="16"/>
      <c r="H225" s="16"/>
    </row>
    <row r="226" spans="1:8">
      <c r="A226" s="16"/>
      <c r="B226" s="16"/>
      <c r="D226" s="16"/>
      <c r="G226" s="16"/>
      <c r="H226" s="16"/>
    </row>
    <row r="227" spans="1:8">
      <c r="A227" s="16"/>
      <c r="B227" s="16"/>
      <c r="D227" s="16"/>
      <c r="G227" s="16"/>
      <c r="H227" s="16"/>
    </row>
    <row r="228" spans="1:8">
      <c r="A228" s="16"/>
      <c r="B228" s="16"/>
      <c r="D228" s="16"/>
      <c r="G228" s="16"/>
      <c r="H228" s="16"/>
    </row>
    <row r="229" spans="1:8">
      <c r="A229" s="16"/>
      <c r="B229" s="16"/>
      <c r="D229" s="16"/>
      <c r="G229" s="16"/>
      <c r="H229" s="16"/>
    </row>
    <row r="230" spans="1:8">
      <c r="A230" s="16"/>
      <c r="B230" s="16"/>
      <c r="D230" s="16"/>
      <c r="G230" s="16"/>
      <c r="H230" s="16"/>
    </row>
    <row r="231" spans="1:8">
      <c r="A231" s="16"/>
      <c r="B231" s="16"/>
      <c r="D231" s="16"/>
      <c r="G231" s="16"/>
      <c r="H231" s="16"/>
    </row>
    <row r="232" spans="1:8">
      <c r="A232" s="16"/>
      <c r="B232" s="16"/>
      <c r="D232" s="16"/>
      <c r="G232" s="16"/>
      <c r="H232" s="16"/>
    </row>
    <row r="233" spans="1:8">
      <c r="A233" s="16"/>
      <c r="B233" s="16"/>
      <c r="D233" s="16"/>
      <c r="G233" s="16"/>
      <c r="H233" s="16"/>
    </row>
    <row r="234" spans="1:8">
      <c r="A234" s="16"/>
      <c r="B234" s="16"/>
      <c r="D234" s="16"/>
      <c r="G234" s="16"/>
      <c r="H234" s="16"/>
    </row>
    <row r="235" spans="1:8">
      <c r="A235" s="16"/>
      <c r="B235" s="16"/>
      <c r="D235" s="16"/>
      <c r="G235" s="16"/>
      <c r="H235" s="16"/>
    </row>
    <row r="236" spans="1:8">
      <c r="A236" s="16"/>
      <c r="B236" s="16"/>
      <c r="D236" s="16"/>
      <c r="G236" s="16"/>
      <c r="H236" s="16"/>
    </row>
    <row r="237" spans="1:8">
      <c r="A237" s="16"/>
      <c r="B237" s="16"/>
      <c r="D237" s="16"/>
      <c r="G237" s="16"/>
      <c r="H237" s="16"/>
    </row>
    <row r="238" spans="1:8">
      <c r="A238" s="16"/>
      <c r="B238" s="16"/>
      <c r="D238" s="16"/>
      <c r="G238" s="16"/>
      <c r="H238" s="16"/>
    </row>
    <row r="239" spans="1:8">
      <c r="A239" s="16"/>
      <c r="B239" s="16"/>
      <c r="D239" s="16"/>
      <c r="G239" s="16"/>
      <c r="H239" s="16"/>
    </row>
    <row r="240" spans="1:8">
      <c r="A240" s="16"/>
      <c r="B240" s="16"/>
      <c r="D240" s="16"/>
      <c r="G240" s="16"/>
      <c r="H240" s="16"/>
    </row>
    <row r="241" spans="1:8">
      <c r="A241" s="16"/>
      <c r="B241" s="16"/>
      <c r="D241" s="16"/>
      <c r="G241" s="16"/>
      <c r="H241" s="16"/>
    </row>
    <row r="242" spans="1:8">
      <c r="A242" s="16"/>
      <c r="B242" s="16"/>
      <c r="D242" s="16"/>
      <c r="G242" s="16"/>
      <c r="H242" s="16"/>
    </row>
    <row r="243" spans="1:8">
      <c r="A243" s="16"/>
      <c r="B243" s="16"/>
      <c r="D243" s="16"/>
      <c r="G243" s="16"/>
      <c r="H243" s="16"/>
    </row>
    <row r="244" spans="1:8">
      <c r="A244" s="16"/>
      <c r="B244" s="16"/>
      <c r="D244" s="16"/>
      <c r="G244" s="16"/>
      <c r="H244" s="16"/>
    </row>
    <row r="245" spans="1:8">
      <c r="A245" s="16"/>
      <c r="B245" s="16"/>
      <c r="D245" s="16"/>
      <c r="G245" s="16"/>
      <c r="H245" s="16"/>
    </row>
    <row r="246" spans="1:8">
      <c r="A246" s="16"/>
      <c r="B246" s="16"/>
      <c r="D246" s="16"/>
      <c r="G246" s="16"/>
      <c r="H246" s="16"/>
    </row>
    <row r="247" spans="1:8">
      <c r="A247" s="16"/>
      <c r="B247" s="16"/>
      <c r="D247" s="16"/>
      <c r="G247" s="16"/>
      <c r="H247" s="16"/>
    </row>
    <row r="248" spans="1:8">
      <c r="A248" s="16"/>
      <c r="B248" s="16"/>
      <c r="D248" s="16"/>
      <c r="G248" s="16"/>
      <c r="H248" s="16"/>
    </row>
    <row r="249" spans="1:8">
      <c r="A249" s="16"/>
      <c r="B249" s="16"/>
      <c r="D249" s="16"/>
      <c r="G249" s="16"/>
      <c r="H249" s="16"/>
    </row>
    <row r="250" spans="1:8">
      <c r="A250" s="16"/>
      <c r="B250" s="16"/>
      <c r="D250" s="16"/>
      <c r="G250" s="16"/>
      <c r="H250" s="16"/>
    </row>
    <row r="251" spans="1:8">
      <c r="A251" s="16"/>
      <c r="B251" s="16"/>
      <c r="D251" s="16"/>
      <c r="G251" s="16"/>
      <c r="H251" s="16"/>
    </row>
    <row r="252" spans="1:8">
      <c r="A252" s="16"/>
      <c r="B252" s="16"/>
      <c r="D252" s="16"/>
      <c r="G252" s="16"/>
      <c r="H252" s="16"/>
    </row>
    <row r="253" spans="1:8">
      <c r="A253" s="16"/>
      <c r="B253" s="16"/>
      <c r="D253" s="16"/>
      <c r="G253" s="16"/>
      <c r="H253" s="16"/>
    </row>
    <row r="254" spans="1:8">
      <c r="A254" s="16"/>
      <c r="B254" s="16"/>
      <c r="D254" s="16"/>
      <c r="G254" s="16"/>
      <c r="H254" s="16"/>
    </row>
    <row r="255" spans="1:8">
      <c r="A255" s="16"/>
      <c r="B255" s="16"/>
      <c r="D255" s="16"/>
      <c r="G255" s="16"/>
      <c r="H255" s="16"/>
    </row>
    <row r="256" spans="1:8">
      <c r="A256" s="16"/>
      <c r="B256" s="16"/>
      <c r="D256" s="16"/>
      <c r="G256" s="16"/>
      <c r="H256" s="16"/>
    </row>
    <row r="257" spans="1:8">
      <c r="A257" s="16"/>
      <c r="B257" s="16"/>
      <c r="D257" s="16"/>
      <c r="G257" s="16"/>
      <c r="H257" s="16"/>
    </row>
    <row r="258" spans="1:8">
      <c r="A258" s="16"/>
      <c r="B258" s="16"/>
      <c r="D258" s="16"/>
      <c r="G258" s="16"/>
      <c r="H258" s="16"/>
    </row>
    <row r="259" spans="1:8">
      <c r="A259" s="16"/>
      <c r="B259" s="16"/>
      <c r="D259" s="16"/>
      <c r="G259" s="16"/>
      <c r="H259" s="16"/>
    </row>
    <row r="260" spans="1:8">
      <c r="A260" s="16"/>
      <c r="B260" s="16"/>
      <c r="D260" s="16"/>
      <c r="G260" s="16"/>
      <c r="H260" s="16"/>
    </row>
    <row r="261" spans="1:8">
      <c r="A261" s="16"/>
      <c r="B261" s="16"/>
      <c r="D261" s="16"/>
      <c r="G261" s="16"/>
      <c r="H261" s="16"/>
    </row>
    <row r="262" spans="1:8">
      <c r="A262" s="16"/>
      <c r="B262" s="16"/>
      <c r="D262" s="16"/>
      <c r="G262" s="16"/>
      <c r="H262" s="16"/>
    </row>
    <row r="263" spans="1:8">
      <c r="A263" s="16"/>
      <c r="B263" s="16"/>
      <c r="D263" s="16"/>
      <c r="G263" s="16"/>
      <c r="H263" s="16"/>
    </row>
    <row r="264" spans="1:8">
      <c r="A264" s="16"/>
      <c r="B264" s="16"/>
      <c r="D264" s="16"/>
      <c r="G264" s="16"/>
      <c r="H264" s="16"/>
    </row>
    <row r="265" spans="1:8">
      <c r="A265" s="16"/>
      <c r="B265" s="16"/>
      <c r="D265" s="16"/>
      <c r="G265" s="16"/>
      <c r="H265" s="16"/>
    </row>
    <row r="266" spans="1:8">
      <c r="A266" s="16"/>
      <c r="B266" s="16"/>
      <c r="D266" s="16"/>
      <c r="G266" s="16"/>
      <c r="H266" s="16"/>
    </row>
    <row r="267" spans="1:8">
      <c r="A267" s="16"/>
      <c r="B267" s="16"/>
      <c r="D267" s="16"/>
      <c r="G267" s="16"/>
      <c r="H267" s="16"/>
    </row>
    <row r="268" spans="1:8">
      <c r="A268" s="16"/>
      <c r="B268" s="16"/>
      <c r="D268" s="16"/>
      <c r="G268" s="16"/>
      <c r="H268" s="16"/>
    </row>
    <row r="269" spans="1:8">
      <c r="A269" s="16"/>
      <c r="B269" s="16"/>
      <c r="D269" s="16"/>
      <c r="G269" s="16"/>
      <c r="H269" s="16"/>
    </row>
    <row r="270" spans="1:8">
      <c r="A270" s="16"/>
      <c r="B270" s="16"/>
      <c r="D270" s="16"/>
      <c r="G270" s="16"/>
      <c r="H270" s="16"/>
    </row>
    <row r="271" spans="1:8">
      <c r="A271" s="16"/>
      <c r="B271" s="16"/>
      <c r="D271" s="16"/>
      <c r="G271" s="16"/>
      <c r="H271" s="16"/>
    </row>
    <row r="272" spans="1:8">
      <c r="A272" s="16"/>
      <c r="B272" s="16"/>
      <c r="D272" s="16"/>
      <c r="G272" s="16"/>
      <c r="H272" s="16"/>
    </row>
    <row r="273" spans="1:8">
      <c r="A273" s="16"/>
      <c r="B273" s="16"/>
      <c r="D273" s="16"/>
      <c r="G273" s="16"/>
      <c r="H273" s="16"/>
    </row>
    <row r="274" spans="1:8">
      <c r="A274" s="16"/>
      <c r="B274" s="16"/>
      <c r="D274" s="16"/>
      <c r="G274" s="16"/>
      <c r="H274" s="16"/>
    </row>
    <row r="275" spans="1:8">
      <c r="A275" s="16"/>
      <c r="B275" s="16"/>
      <c r="D275" s="16"/>
      <c r="G275" s="16"/>
      <c r="H275" s="16"/>
    </row>
    <row r="276" spans="1:8">
      <c r="A276" s="16"/>
      <c r="B276" s="16"/>
      <c r="D276" s="16"/>
      <c r="G276" s="16"/>
      <c r="H276" s="16"/>
    </row>
    <row r="277" spans="1:8">
      <c r="A277" s="16"/>
      <c r="B277" s="16"/>
      <c r="D277" s="16"/>
      <c r="G277" s="16"/>
      <c r="H277" s="16"/>
    </row>
    <row r="278" spans="1:8">
      <c r="A278" s="16"/>
      <c r="B278" s="16"/>
      <c r="D278" s="16"/>
      <c r="G278" s="16"/>
      <c r="H278" s="16"/>
    </row>
    <row r="279" spans="1:8">
      <c r="A279" s="16"/>
      <c r="B279" s="16"/>
      <c r="D279" s="16"/>
      <c r="G279" s="16"/>
      <c r="H279" s="16"/>
    </row>
    <row r="280" spans="1:8">
      <c r="A280" s="16"/>
      <c r="B280" s="16"/>
      <c r="D280" s="16"/>
      <c r="G280" s="16"/>
      <c r="H280" s="16"/>
    </row>
    <row r="281" spans="1:8">
      <c r="A281" s="16"/>
      <c r="B281" s="16"/>
      <c r="D281" s="16"/>
      <c r="G281" s="16"/>
      <c r="H281" s="16"/>
    </row>
    <row r="282" spans="1:8">
      <c r="A282" s="16"/>
      <c r="B282" s="16"/>
      <c r="D282" s="16"/>
      <c r="G282" s="16"/>
      <c r="H282" s="16"/>
    </row>
    <row r="283" spans="1:8">
      <c r="A283" s="16"/>
      <c r="B283" s="16"/>
      <c r="D283" s="16"/>
      <c r="G283" s="16"/>
      <c r="H283" s="16"/>
    </row>
    <row r="284" spans="1:8">
      <c r="A284" s="16"/>
      <c r="B284" s="16"/>
      <c r="D284" s="16"/>
      <c r="G284" s="16"/>
      <c r="H284" s="16"/>
    </row>
    <row r="285" spans="1:8">
      <c r="A285" s="16"/>
      <c r="B285" s="16"/>
      <c r="D285" s="16"/>
      <c r="G285" s="16"/>
      <c r="H285" s="16"/>
    </row>
    <row r="286" spans="1:8">
      <c r="A286" s="16"/>
      <c r="B286" s="16"/>
      <c r="D286" s="16"/>
      <c r="G286" s="16"/>
      <c r="H286" s="16"/>
    </row>
    <row r="287" spans="1:8">
      <c r="A287" s="16"/>
      <c r="B287" s="16"/>
      <c r="D287" s="16"/>
      <c r="G287" s="16"/>
      <c r="H287" s="16"/>
    </row>
    <row r="288" spans="1:8">
      <c r="A288" s="16"/>
      <c r="B288" s="16"/>
      <c r="D288" s="16"/>
      <c r="G288" s="16"/>
      <c r="H288" s="16"/>
    </row>
    <row r="289" spans="1:8">
      <c r="A289" s="16"/>
      <c r="B289" s="16"/>
      <c r="D289" s="16"/>
      <c r="G289" s="16"/>
      <c r="H289" s="16"/>
    </row>
    <row r="290" spans="1:8">
      <c r="A290" s="16"/>
      <c r="B290" s="16"/>
      <c r="D290" s="16"/>
      <c r="G290" s="16"/>
      <c r="H290" s="16"/>
    </row>
    <row r="291" spans="1:8">
      <c r="A291" s="16"/>
      <c r="B291" s="16"/>
      <c r="D291" s="16"/>
      <c r="G291" s="16"/>
      <c r="H291" s="16"/>
    </row>
    <row r="292" spans="1:8">
      <c r="A292" s="16"/>
      <c r="B292" s="16"/>
      <c r="D292" s="16"/>
      <c r="G292" s="16"/>
      <c r="H292" s="16"/>
    </row>
    <row r="293" spans="1:8">
      <c r="A293" s="16"/>
      <c r="B293" s="16"/>
      <c r="D293" s="16"/>
      <c r="G293" s="16"/>
      <c r="H293" s="16"/>
    </row>
    <row r="294" spans="1:8">
      <c r="A294" s="16"/>
      <c r="B294" s="16"/>
      <c r="D294" s="16"/>
      <c r="G294" s="16"/>
      <c r="H294" s="16"/>
    </row>
    <row r="295" spans="1:8">
      <c r="A295" s="16"/>
      <c r="B295" s="16"/>
      <c r="D295" s="16"/>
      <c r="G295" s="16"/>
      <c r="H295" s="16"/>
    </row>
    <row r="296" spans="1:8">
      <c r="A296" s="16"/>
      <c r="B296" s="16"/>
      <c r="D296" s="16"/>
      <c r="G296" s="16"/>
      <c r="H296" s="16"/>
    </row>
    <row r="297" spans="1:8">
      <c r="A297" s="16"/>
      <c r="B297" s="16"/>
      <c r="D297" s="16"/>
      <c r="G297" s="16"/>
      <c r="H297" s="16"/>
    </row>
    <row r="298" spans="1:8">
      <c r="A298" s="16"/>
      <c r="B298" s="16"/>
      <c r="D298" s="16"/>
      <c r="G298" s="16"/>
      <c r="H298" s="16"/>
    </row>
    <row r="299" spans="1:8">
      <c r="A299" s="16"/>
      <c r="B299" s="16"/>
      <c r="D299" s="16"/>
      <c r="G299" s="16"/>
      <c r="H299" s="16"/>
    </row>
    <row r="300" spans="1:8">
      <c r="A300" s="16"/>
      <c r="B300" s="16"/>
      <c r="D300" s="16"/>
      <c r="G300" s="16"/>
      <c r="H300" s="16"/>
    </row>
    <row r="301" spans="1:8">
      <c r="A301" s="16"/>
      <c r="B301" s="16"/>
      <c r="D301" s="16"/>
      <c r="G301" s="16"/>
      <c r="H301" s="16"/>
    </row>
    <row r="302" spans="1:8">
      <c r="A302" s="16"/>
      <c r="B302" s="16"/>
      <c r="D302" s="16"/>
      <c r="G302" s="16"/>
      <c r="H302" s="16"/>
    </row>
    <row r="303" spans="1:8">
      <c r="A303" s="16"/>
      <c r="B303" s="16"/>
      <c r="D303" s="16"/>
      <c r="G303" s="16"/>
      <c r="H303" s="16"/>
    </row>
    <row r="304" spans="1:8">
      <c r="A304" s="16"/>
      <c r="B304" s="16"/>
      <c r="D304" s="16"/>
      <c r="G304" s="16"/>
      <c r="H304" s="16"/>
    </row>
    <row r="305" spans="1:8">
      <c r="A305" s="16"/>
      <c r="B305" s="16"/>
      <c r="D305" s="16"/>
      <c r="G305" s="16"/>
      <c r="H305" s="16"/>
    </row>
    <row r="306" spans="1:8">
      <c r="A306" s="16"/>
      <c r="B306" s="16"/>
      <c r="D306" s="16"/>
      <c r="G306" s="16"/>
      <c r="H306" s="16"/>
    </row>
    <row r="307" spans="1:8">
      <c r="A307" s="16"/>
      <c r="B307" s="16"/>
      <c r="D307" s="16"/>
      <c r="G307" s="16"/>
      <c r="H307" s="16"/>
    </row>
    <row r="308" spans="1:8">
      <c r="A308" s="16"/>
      <c r="B308" s="16"/>
      <c r="D308" s="16"/>
      <c r="G308" s="16"/>
      <c r="H308" s="16"/>
    </row>
    <row r="309" spans="1:8">
      <c r="A309" s="16"/>
      <c r="B309" s="16"/>
      <c r="D309" s="16"/>
      <c r="G309" s="16"/>
      <c r="H309" s="16"/>
    </row>
    <row r="310" spans="1:8">
      <c r="A310" s="16"/>
      <c r="B310" s="16"/>
      <c r="D310" s="16"/>
      <c r="G310" s="16"/>
      <c r="H310" s="16"/>
    </row>
    <row r="311" spans="1:8">
      <c r="A311" s="16"/>
      <c r="B311" s="16"/>
      <c r="D311" s="16"/>
      <c r="G311" s="16"/>
      <c r="H311" s="16"/>
    </row>
    <row r="312" spans="1:8">
      <c r="A312" s="16"/>
      <c r="B312" s="16"/>
      <c r="D312" s="16"/>
      <c r="G312" s="16"/>
      <c r="H312" s="16"/>
    </row>
    <row r="313" spans="1:8">
      <c r="A313" s="16"/>
      <c r="B313" s="16"/>
      <c r="D313" s="16"/>
      <c r="G313" s="16"/>
      <c r="H313" s="16"/>
    </row>
    <row r="314" spans="1:8">
      <c r="A314" s="16"/>
      <c r="B314" s="16"/>
      <c r="D314" s="16"/>
      <c r="G314" s="16"/>
      <c r="H314" s="16"/>
    </row>
    <row r="315" spans="1:8">
      <c r="A315" s="16"/>
      <c r="B315" s="16"/>
      <c r="D315" s="16"/>
      <c r="G315" s="16"/>
      <c r="H315" s="16"/>
    </row>
    <row r="316" spans="1:8">
      <c r="A316" s="16"/>
      <c r="B316" s="16"/>
      <c r="D316" s="16"/>
      <c r="G316" s="16"/>
      <c r="H316" s="16"/>
    </row>
    <row r="317" spans="1:8">
      <c r="A317" s="16"/>
      <c r="B317" s="16"/>
      <c r="D317" s="16"/>
      <c r="G317" s="16"/>
      <c r="H317" s="16"/>
    </row>
    <row r="318" spans="1:8">
      <c r="A318" s="16"/>
      <c r="B318" s="16"/>
      <c r="D318" s="16"/>
      <c r="G318" s="16"/>
      <c r="H318" s="16"/>
    </row>
    <row r="319" spans="1:8">
      <c r="A319" s="16"/>
      <c r="B319" s="16"/>
      <c r="D319" s="16"/>
      <c r="G319" s="16"/>
      <c r="H319" s="16"/>
    </row>
    <row r="320" spans="1:8">
      <c r="A320" s="16"/>
      <c r="B320" s="16"/>
      <c r="D320" s="16"/>
      <c r="G320" s="16"/>
      <c r="H320" s="16"/>
    </row>
    <row r="321" spans="1:8">
      <c r="A321" s="16"/>
      <c r="B321" s="16"/>
      <c r="D321" s="16"/>
      <c r="G321" s="16"/>
      <c r="H321" s="16"/>
    </row>
    <row r="322" spans="1:8">
      <c r="A322" s="16"/>
      <c r="B322" s="16"/>
      <c r="D322" s="16"/>
      <c r="G322" s="16"/>
      <c r="H322" s="16"/>
    </row>
    <row r="323" spans="1:8">
      <c r="A323" s="16"/>
      <c r="B323" s="16"/>
      <c r="D323" s="16"/>
      <c r="G323" s="16"/>
      <c r="H323" s="16"/>
    </row>
    <row r="324" spans="1:8">
      <c r="A324" s="16"/>
      <c r="B324" s="16"/>
      <c r="D324" s="16"/>
      <c r="G324" s="16"/>
      <c r="H324" s="16"/>
    </row>
    <row r="325" spans="1:8">
      <c r="A325" s="16"/>
      <c r="B325" s="16"/>
      <c r="D325" s="16"/>
      <c r="G325" s="16"/>
      <c r="H325" s="16"/>
    </row>
    <row r="326" spans="1:8">
      <c r="A326" s="16"/>
      <c r="B326" s="16"/>
      <c r="D326" s="16"/>
      <c r="G326" s="16"/>
      <c r="H326" s="16"/>
    </row>
    <row r="327" spans="1:8">
      <c r="A327" s="16"/>
      <c r="B327" s="16"/>
      <c r="D327" s="16"/>
      <c r="G327" s="16"/>
      <c r="H327" s="16"/>
    </row>
    <row r="328" spans="1:8">
      <c r="A328" s="16"/>
      <c r="B328" s="16"/>
      <c r="D328" s="16"/>
      <c r="G328" s="16"/>
      <c r="H328" s="16"/>
    </row>
    <row r="329" spans="1:8">
      <c r="A329" s="16"/>
      <c r="B329" s="16"/>
      <c r="D329" s="16"/>
      <c r="G329" s="16"/>
      <c r="H329" s="16"/>
    </row>
    <row r="330" spans="1:8">
      <c r="A330" s="16"/>
      <c r="B330" s="16"/>
      <c r="D330" s="16"/>
      <c r="G330" s="16"/>
      <c r="H330" s="16"/>
    </row>
    <row r="331" spans="1:8">
      <c r="A331" s="16"/>
      <c r="B331" s="16"/>
      <c r="D331" s="16"/>
      <c r="G331" s="16"/>
      <c r="H331" s="16"/>
    </row>
    <row r="332" spans="1:8">
      <c r="A332" s="16"/>
      <c r="B332" s="16"/>
      <c r="D332" s="16"/>
      <c r="G332" s="16"/>
      <c r="H332" s="16"/>
    </row>
    <row r="333" spans="1:8">
      <c r="A333" s="16"/>
      <c r="B333" s="16"/>
      <c r="D333" s="16"/>
      <c r="G333" s="16"/>
      <c r="H333" s="16"/>
    </row>
    <row r="334" spans="1:8">
      <c r="A334" s="16"/>
      <c r="B334" s="16"/>
      <c r="D334" s="16"/>
      <c r="G334" s="16"/>
      <c r="H334" s="16"/>
    </row>
    <row r="335" spans="1:8">
      <c r="A335" s="16"/>
      <c r="B335" s="16"/>
      <c r="D335" s="16"/>
      <c r="G335" s="16"/>
      <c r="H335" s="16"/>
    </row>
    <row r="336" spans="1:8">
      <c r="A336" s="16"/>
      <c r="B336" s="16"/>
      <c r="D336" s="16"/>
      <c r="G336" s="16"/>
      <c r="H336" s="16"/>
    </row>
    <row r="337" spans="1:8">
      <c r="A337" s="16"/>
      <c r="B337" s="16"/>
      <c r="D337" s="16"/>
      <c r="G337" s="16"/>
      <c r="H337" s="16"/>
    </row>
    <row r="338" spans="1:8">
      <c r="A338" s="16"/>
      <c r="B338" s="16"/>
      <c r="D338" s="16"/>
      <c r="G338" s="16"/>
      <c r="H338" s="16"/>
    </row>
    <row r="339" spans="1:8">
      <c r="A339" s="16"/>
      <c r="B339" s="16"/>
      <c r="D339" s="16"/>
      <c r="G339" s="16"/>
      <c r="H339" s="16"/>
    </row>
    <row r="340" spans="1:8">
      <c r="A340" s="16"/>
      <c r="B340" s="16"/>
      <c r="D340" s="16"/>
      <c r="G340" s="16"/>
      <c r="H340" s="16"/>
    </row>
    <row r="341" spans="1:8">
      <c r="A341" s="16"/>
      <c r="B341" s="16"/>
      <c r="D341" s="16"/>
      <c r="G341" s="16"/>
      <c r="H341" s="16"/>
    </row>
    <row r="342" spans="1:8">
      <c r="A342" s="16"/>
      <c r="B342" s="16"/>
      <c r="D342" s="16"/>
      <c r="G342" s="16"/>
      <c r="H342" s="16"/>
    </row>
    <row r="343" spans="1:8">
      <c r="A343" s="16"/>
      <c r="B343" s="16"/>
      <c r="D343" s="16"/>
      <c r="G343" s="16"/>
      <c r="H343" s="16"/>
    </row>
    <row r="344" spans="1:8">
      <c r="A344" s="16"/>
      <c r="B344" s="16"/>
      <c r="D344" s="16"/>
      <c r="G344" s="16"/>
      <c r="H344" s="16"/>
    </row>
    <row r="345" spans="1:8">
      <c r="A345" s="16"/>
      <c r="B345" s="16"/>
      <c r="D345" s="16"/>
      <c r="G345" s="16"/>
      <c r="H345" s="16"/>
    </row>
    <row r="346" spans="1:8">
      <c r="A346" s="16"/>
      <c r="B346" s="16"/>
      <c r="D346" s="16"/>
      <c r="G346" s="16"/>
      <c r="H346" s="16"/>
    </row>
    <row r="347" spans="1:8">
      <c r="A347" s="16"/>
      <c r="B347" s="16"/>
      <c r="D347" s="16"/>
      <c r="G347" s="16"/>
      <c r="H347" s="16"/>
    </row>
    <row r="348" spans="1:8">
      <c r="A348" s="16"/>
      <c r="B348" s="16"/>
      <c r="D348" s="16"/>
      <c r="G348" s="16"/>
      <c r="H348" s="16"/>
    </row>
    <row r="349" spans="1:8">
      <c r="A349" s="16"/>
      <c r="B349" s="16"/>
      <c r="D349" s="16"/>
      <c r="G349" s="16"/>
      <c r="H349" s="16"/>
    </row>
    <row r="350" spans="1:8">
      <c r="A350" s="16"/>
      <c r="B350" s="16"/>
      <c r="D350" s="16"/>
      <c r="G350" s="16"/>
      <c r="H350" s="16"/>
    </row>
    <row r="351" spans="1:8">
      <c r="A351" s="16"/>
      <c r="B351" s="16"/>
      <c r="D351" s="16"/>
      <c r="G351" s="16"/>
      <c r="H351" s="16"/>
    </row>
    <row r="352" spans="1:8">
      <c r="A352" s="16"/>
      <c r="B352" s="16"/>
      <c r="D352" s="16"/>
      <c r="G352" s="16"/>
      <c r="H352" s="16"/>
    </row>
    <row r="353" spans="1:8">
      <c r="A353" s="16"/>
      <c r="B353" s="16"/>
      <c r="D353" s="16"/>
      <c r="G353" s="16"/>
      <c r="H353" s="16"/>
    </row>
    <row r="354" spans="1:8">
      <c r="A354" s="16"/>
      <c r="B354" s="16"/>
      <c r="D354" s="16"/>
      <c r="G354" s="16"/>
      <c r="H354" s="16"/>
    </row>
    <row r="355" spans="1:8">
      <c r="A355" s="16"/>
      <c r="B355" s="16"/>
      <c r="D355" s="16"/>
      <c r="G355" s="16"/>
      <c r="H355" s="16"/>
    </row>
    <row r="356" spans="1:8">
      <c r="A356" s="16"/>
      <c r="B356" s="16"/>
      <c r="D356" s="16"/>
      <c r="G356" s="16"/>
      <c r="H356" s="16"/>
    </row>
    <row r="357" spans="1:8">
      <c r="A357" s="16"/>
      <c r="B357" s="16"/>
      <c r="D357" s="16"/>
      <c r="G357" s="16"/>
      <c r="H357" s="16"/>
    </row>
    <row r="358" spans="1:8">
      <c r="A358" s="16"/>
      <c r="B358" s="16"/>
      <c r="D358" s="16"/>
      <c r="G358" s="16"/>
      <c r="H358" s="16"/>
    </row>
    <row r="359" spans="1:8">
      <c r="A359" s="16"/>
      <c r="B359" s="16"/>
      <c r="D359" s="16"/>
      <c r="G359" s="16"/>
      <c r="H359" s="16"/>
    </row>
    <row r="360" spans="1:8">
      <c r="A360" s="16"/>
      <c r="B360" s="16"/>
      <c r="D360" s="16"/>
      <c r="G360" s="16"/>
      <c r="H360" s="16"/>
    </row>
    <row r="361" spans="1:8">
      <c r="A361" s="16"/>
      <c r="B361" s="16"/>
      <c r="D361" s="16"/>
      <c r="G361" s="16"/>
      <c r="H361" s="16"/>
    </row>
    <row r="362" spans="1:8">
      <c r="A362" s="16"/>
      <c r="B362" s="16"/>
      <c r="D362" s="16"/>
      <c r="G362" s="16"/>
      <c r="H362" s="16"/>
    </row>
    <row r="363" spans="1:8">
      <c r="A363" s="16"/>
      <c r="B363" s="16"/>
      <c r="D363" s="16"/>
      <c r="G363" s="16"/>
      <c r="H363" s="16"/>
    </row>
    <row r="364" spans="1:8">
      <c r="A364" s="16"/>
      <c r="B364" s="16"/>
      <c r="D364" s="16"/>
      <c r="G364" s="16"/>
      <c r="H364" s="16"/>
    </row>
    <row r="365" spans="1:8">
      <c r="A365" s="16"/>
      <c r="B365" s="16"/>
      <c r="D365" s="16"/>
      <c r="G365" s="16"/>
      <c r="H365" s="16"/>
    </row>
    <row r="366" spans="1:8">
      <c r="A366" s="16"/>
      <c r="B366" s="16"/>
      <c r="D366" s="16"/>
      <c r="G366" s="16"/>
      <c r="H366" s="16"/>
    </row>
    <row r="367" spans="1:8">
      <c r="A367" s="16"/>
      <c r="B367" s="16"/>
      <c r="D367" s="16"/>
      <c r="G367" s="16"/>
      <c r="H367" s="16"/>
    </row>
    <row r="368" spans="1:8">
      <c r="A368" s="16"/>
      <c r="B368" s="16"/>
      <c r="D368" s="16"/>
      <c r="G368" s="16"/>
      <c r="H368" s="16"/>
    </row>
    <row r="369" spans="1:8">
      <c r="A369" s="16"/>
      <c r="B369" s="16"/>
      <c r="D369" s="16"/>
      <c r="G369" s="16"/>
      <c r="H369" s="16"/>
    </row>
    <row r="370" spans="1:8">
      <c r="A370" s="16"/>
      <c r="B370" s="16"/>
      <c r="D370" s="16"/>
      <c r="G370" s="16"/>
      <c r="H370" s="16"/>
    </row>
    <row r="371" spans="1:8">
      <c r="A371" s="16"/>
      <c r="B371" s="16"/>
      <c r="D371" s="16"/>
      <c r="G371" s="16"/>
      <c r="H371" s="16"/>
    </row>
    <row r="372" spans="1:8">
      <c r="A372" s="16"/>
      <c r="B372" s="16"/>
      <c r="D372" s="16"/>
      <c r="G372" s="16"/>
      <c r="H372" s="16"/>
    </row>
    <row r="373" spans="1:8">
      <c r="A373" s="16"/>
      <c r="B373" s="16"/>
      <c r="D373" s="16"/>
      <c r="G373" s="16"/>
      <c r="H373" s="16"/>
    </row>
    <row r="374" spans="1:8">
      <c r="A374" s="16"/>
      <c r="B374" s="16"/>
      <c r="D374" s="16"/>
      <c r="G374" s="16"/>
      <c r="H374" s="16"/>
    </row>
    <row r="375" spans="1:8">
      <c r="A375" s="16"/>
      <c r="B375" s="16"/>
      <c r="D375" s="16"/>
      <c r="G375" s="16"/>
      <c r="H375" s="16"/>
    </row>
    <row r="376" spans="1:8">
      <c r="A376" s="16"/>
      <c r="B376" s="16"/>
      <c r="D376" s="16"/>
      <c r="G376" s="16"/>
      <c r="H376" s="16"/>
    </row>
    <row r="377" spans="1:8">
      <c r="A377" s="16"/>
      <c r="B377" s="16"/>
      <c r="D377" s="16"/>
      <c r="G377" s="16"/>
      <c r="H377" s="16"/>
    </row>
    <row r="378" spans="1:8">
      <c r="A378" s="16"/>
      <c r="B378" s="16"/>
      <c r="D378" s="16"/>
      <c r="G378" s="16"/>
      <c r="H378" s="16"/>
    </row>
    <row r="379" spans="1:8">
      <c r="A379" s="16"/>
      <c r="B379" s="16"/>
      <c r="D379" s="16"/>
      <c r="G379" s="16"/>
      <c r="H379" s="16"/>
    </row>
    <row r="380" spans="1:8">
      <c r="A380" s="16"/>
      <c r="B380" s="16"/>
      <c r="D380" s="16"/>
      <c r="G380" s="16"/>
      <c r="H380" s="16"/>
    </row>
    <row r="381" spans="1:8">
      <c r="A381" s="16"/>
      <c r="B381" s="16"/>
      <c r="D381" s="16"/>
      <c r="G381" s="16"/>
      <c r="H381" s="16"/>
    </row>
    <row r="382" spans="1:8">
      <c r="A382" s="16"/>
      <c r="B382" s="16"/>
      <c r="D382" s="16"/>
      <c r="G382" s="16"/>
      <c r="H382" s="16"/>
    </row>
    <row r="383" spans="1:8">
      <c r="A383" s="16"/>
      <c r="B383" s="16"/>
      <c r="D383" s="16"/>
      <c r="G383" s="16"/>
      <c r="H383" s="16"/>
    </row>
    <row r="384" spans="1:8">
      <c r="A384" s="16"/>
      <c r="B384" s="16"/>
      <c r="D384" s="16"/>
      <c r="G384" s="16"/>
      <c r="H384" s="16"/>
    </row>
    <row r="385" spans="1:8">
      <c r="A385" s="16"/>
      <c r="B385" s="16"/>
      <c r="D385" s="16"/>
      <c r="G385" s="16"/>
      <c r="H385" s="16"/>
    </row>
    <row r="386" spans="1:8">
      <c r="A386" s="16"/>
      <c r="B386" s="16"/>
      <c r="D386" s="16"/>
      <c r="G386" s="16"/>
      <c r="H386" s="16"/>
    </row>
    <row r="387" spans="1:8">
      <c r="A387" s="16"/>
      <c r="B387" s="16"/>
      <c r="D387" s="16"/>
      <c r="G387" s="16"/>
      <c r="H387" s="16"/>
    </row>
    <row r="388" spans="1:8">
      <c r="A388" s="16"/>
      <c r="B388" s="16"/>
      <c r="D388" s="16"/>
      <c r="G388" s="16"/>
      <c r="H388" s="16"/>
    </row>
    <row r="389" spans="1:8">
      <c r="A389" s="16"/>
      <c r="B389" s="16"/>
      <c r="D389" s="16"/>
      <c r="G389" s="16"/>
      <c r="H389" s="16"/>
    </row>
    <row r="390" spans="1:8">
      <c r="A390" s="16"/>
      <c r="B390" s="16"/>
      <c r="D390" s="16"/>
      <c r="G390" s="16"/>
      <c r="H390" s="16"/>
    </row>
    <row r="391" spans="1:8">
      <c r="A391" s="16"/>
      <c r="B391" s="16"/>
      <c r="D391" s="16"/>
      <c r="G391" s="16"/>
      <c r="H391" s="16"/>
    </row>
    <row r="392" spans="1:8">
      <c r="A392" s="16"/>
      <c r="B392" s="16"/>
      <c r="D392" s="16"/>
      <c r="G392" s="16"/>
      <c r="H392" s="16"/>
    </row>
    <row r="393" spans="1:8">
      <c r="A393" s="16"/>
      <c r="B393" s="16"/>
      <c r="D393" s="16"/>
      <c r="G393" s="16"/>
      <c r="H393" s="16"/>
    </row>
    <row r="394" spans="1:8">
      <c r="A394" s="16"/>
      <c r="B394" s="16"/>
      <c r="D394" s="16"/>
      <c r="G394" s="16"/>
      <c r="H394" s="16"/>
    </row>
    <row r="395" spans="1:8">
      <c r="A395" s="16"/>
      <c r="B395" s="16"/>
      <c r="D395" s="16"/>
      <c r="G395" s="16"/>
      <c r="H395" s="16"/>
    </row>
    <row r="396" spans="1:8">
      <c r="A396" s="16"/>
      <c r="B396" s="16"/>
      <c r="D396" s="16"/>
      <c r="G396" s="16"/>
      <c r="H396" s="16"/>
    </row>
    <row r="397" spans="1:8">
      <c r="A397" s="16"/>
      <c r="B397" s="16"/>
      <c r="D397" s="16"/>
      <c r="G397" s="16"/>
      <c r="H397" s="16"/>
    </row>
    <row r="398" spans="1:8">
      <c r="A398" s="16"/>
      <c r="B398" s="16"/>
      <c r="D398" s="16"/>
      <c r="G398" s="16"/>
      <c r="H398" s="16"/>
    </row>
    <row r="399" spans="1:8">
      <c r="A399" s="16"/>
      <c r="B399" s="16"/>
      <c r="D399" s="16"/>
      <c r="G399" s="16"/>
      <c r="H399" s="16"/>
    </row>
    <row r="400" spans="1:8">
      <c r="A400" s="16"/>
      <c r="B400" s="16"/>
      <c r="D400" s="16"/>
      <c r="G400" s="16"/>
      <c r="H400" s="16"/>
    </row>
    <row r="401" spans="1:8">
      <c r="A401" s="16"/>
      <c r="B401" s="16"/>
      <c r="D401" s="16"/>
      <c r="G401" s="16"/>
      <c r="H401" s="16"/>
    </row>
    <row r="402" spans="1:8">
      <c r="A402" s="16"/>
      <c r="B402" s="16"/>
      <c r="D402" s="16"/>
      <c r="G402" s="16"/>
      <c r="H402" s="16"/>
    </row>
    <row r="403" spans="1:8">
      <c r="A403" s="16"/>
      <c r="B403" s="16"/>
      <c r="D403" s="16"/>
      <c r="G403" s="16"/>
      <c r="H403" s="16"/>
    </row>
    <row r="404" spans="1:8">
      <c r="A404" s="16"/>
      <c r="B404" s="16"/>
      <c r="D404" s="16"/>
      <c r="G404" s="16"/>
      <c r="H404" s="16"/>
    </row>
    <row r="405" spans="1:8">
      <c r="A405" s="16"/>
      <c r="B405" s="16"/>
      <c r="D405" s="16"/>
      <c r="G405" s="16"/>
      <c r="H405" s="16"/>
    </row>
    <row r="406" spans="1:8">
      <c r="A406" s="16"/>
      <c r="B406" s="16"/>
      <c r="D406" s="16"/>
      <c r="G406" s="16"/>
      <c r="H406" s="16"/>
    </row>
    <row r="407" spans="1:8">
      <c r="A407" s="16"/>
      <c r="B407" s="16"/>
      <c r="D407" s="16"/>
      <c r="G407" s="16"/>
      <c r="H407" s="16"/>
    </row>
    <row r="408" spans="1:8">
      <c r="A408" s="16"/>
      <c r="B408" s="16"/>
      <c r="D408" s="16"/>
      <c r="G408" s="16"/>
      <c r="H408" s="16"/>
    </row>
    <row r="409" spans="1:8">
      <c r="A409" s="16"/>
      <c r="B409" s="16"/>
      <c r="D409" s="16"/>
      <c r="G409" s="16"/>
      <c r="H409" s="16"/>
    </row>
    <row r="410" spans="1:8">
      <c r="A410" s="16"/>
      <c r="B410" s="16"/>
      <c r="D410" s="16"/>
      <c r="G410" s="16"/>
      <c r="H410" s="16"/>
    </row>
    <row r="411" spans="1:8">
      <c r="A411" s="16"/>
      <c r="B411" s="16"/>
      <c r="D411" s="16"/>
      <c r="G411" s="16"/>
      <c r="H411" s="16"/>
    </row>
    <row r="412" spans="1:8">
      <c r="A412" s="16"/>
      <c r="B412" s="16"/>
      <c r="D412" s="16"/>
      <c r="G412" s="16"/>
      <c r="H412" s="16"/>
    </row>
    <row r="413" spans="1:8">
      <c r="A413" s="16"/>
      <c r="B413" s="16"/>
      <c r="D413" s="16"/>
      <c r="G413" s="16"/>
      <c r="H413" s="16"/>
    </row>
    <row r="414" spans="1:8">
      <c r="A414" s="16"/>
      <c r="B414" s="16"/>
      <c r="D414" s="16"/>
      <c r="G414" s="16"/>
      <c r="H414" s="16"/>
    </row>
    <row r="415" spans="1:8">
      <c r="A415" s="16"/>
      <c r="B415" s="16"/>
      <c r="D415" s="16"/>
      <c r="G415" s="16"/>
      <c r="H415" s="16"/>
    </row>
    <row r="416" spans="1:8">
      <c r="A416" s="16"/>
      <c r="B416" s="16"/>
      <c r="D416" s="16"/>
      <c r="G416" s="16"/>
      <c r="H416" s="16"/>
    </row>
    <row r="417" spans="1:8">
      <c r="A417" s="16"/>
      <c r="B417" s="16"/>
      <c r="D417" s="16"/>
      <c r="G417" s="16"/>
      <c r="H417" s="16"/>
    </row>
    <row r="418" spans="1:8">
      <c r="A418" s="16"/>
      <c r="B418" s="16"/>
      <c r="D418" s="16"/>
      <c r="G418" s="16"/>
      <c r="H418" s="16"/>
    </row>
    <row r="419" spans="1:8">
      <c r="A419" s="16"/>
      <c r="B419" s="16"/>
      <c r="D419" s="16"/>
      <c r="G419" s="16"/>
      <c r="H419" s="16"/>
    </row>
    <row r="420" spans="1:8">
      <c r="A420" s="16"/>
      <c r="B420" s="16"/>
      <c r="D420" s="16"/>
      <c r="G420" s="16"/>
      <c r="H420" s="16"/>
    </row>
    <row r="421" spans="1:8">
      <c r="A421" s="16"/>
      <c r="B421" s="16"/>
      <c r="D421" s="16"/>
      <c r="G421" s="16"/>
      <c r="H421" s="16"/>
    </row>
    <row r="422" spans="1:8">
      <c r="A422" s="16"/>
      <c r="B422" s="16"/>
      <c r="D422" s="16"/>
      <c r="G422" s="16"/>
      <c r="H422" s="16"/>
    </row>
    <row r="423" spans="1:8">
      <c r="A423" s="16"/>
      <c r="B423" s="16"/>
      <c r="D423" s="16"/>
      <c r="G423" s="16"/>
      <c r="H423" s="16"/>
    </row>
    <row r="424" spans="1:8">
      <c r="A424" s="16"/>
      <c r="B424" s="16"/>
      <c r="D424" s="16"/>
      <c r="G424" s="16"/>
      <c r="H424" s="16"/>
    </row>
    <row r="425" spans="1:8">
      <c r="A425" s="16"/>
      <c r="B425" s="16"/>
      <c r="D425" s="16"/>
      <c r="G425" s="16"/>
      <c r="H425" s="16"/>
    </row>
    <row r="426" spans="1:8">
      <c r="A426" s="16"/>
      <c r="B426" s="16"/>
      <c r="D426" s="16"/>
      <c r="G426" s="16"/>
      <c r="H426" s="16"/>
    </row>
    <row r="427" spans="1:8">
      <c r="A427" s="16"/>
      <c r="B427" s="16"/>
      <c r="D427" s="16"/>
      <c r="G427" s="16"/>
      <c r="H427" s="16"/>
    </row>
    <row r="428" spans="1:8">
      <c r="A428" s="16"/>
      <c r="B428" s="16"/>
      <c r="D428" s="16"/>
      <c r="G428" s="16"/>
      <c r="H428" s="16"/>
    </row>
    <row r="429" spans="1:8">
      <c r="A429" s="16"/>
      <c r="B429" s="16"/>
      <c r="D429" s="16"/>
      <c r="G429" s="16"/>
      <c r="H429" s="16"/>
    </row>
    <row r="430" spans="1:8">
      <c r="A430" s="16"/>
      <c r="B430" s="16"/>
      <c r="D430" s="16"/>
      <c r="G430" s="16"/>
      <c r="H430" s="16"/>
    </row>
    <row r="431" spans="1:8">
      <c r="A431" s="16"/>
      <c r="B431" s="16"/>
      <c r="D431" s="16"/>
      <c r="G431" s="16"/>
      <c r="H431" s="16"/>
    </row>
    <row r="432" spans="1:8">
      <c r="A432" s="16"/>
      <c r="B432" s="16"/>
      <c r="D432" s="16"/>
      <c r="G432" s="16"/>
      <c r="H432" s="16"/>
    </row>
    <row r="433" spans="1:8">
      <c r="A433" s="16"/>
      <c r="B433" s="16"/>
      <c r="D433" s="16"/>
      <c r="G433" s="16"/>
      <c r="H433" s="16"/>
    </row>
    <row r="434" spans="1:8">
      <c r="A434" s="16"/>
      <c r="B434" s="16"/>
      <c r="D434" s="16"/>
      <c r="G434" s="16"/>
      <c r="H434" s="16"/>
    </row>
    <row r="435" spans="1:8">
      <c r="A435" s="16"/>
      <c r="B435" s="16"/>
      <c r="D435" s="16"/>
      <c r="G435" s="16"/>
      <c r="H435" s="16"/>
    </row>
    <row r="436" spans="1:8">
      <c r="A436" s="16"/>
      <c r="B436" s="16"/>
      <c r="D436" s="16"/>
      <c r="G436" s="16"/>
      <c r="H436" s="16"/>
    </row>
    <row r="437" spans="1:8">
      <c r="A437" s="16"/>
      <c r="B437" s="16"/>
      <c r="D437" s="16"/>
      <c r="G437" s="16"/>
      <c r="H437" s="16"/>
    </row>
    <row r="438" spans="1:8">
      <c r="A438" s="16"/>
      <c r="B438" s="16"/>
      <c r="D438" s="16"/>
      <c r="G438" s="16"/>
      <c r="H438" s="16"/>
    </row>
    <row r="439" spans="1:8">
      <c r="A439" s="16"/>
      <c r="B439" s="16"/>
      <c r="D439" s="16"/>
      <c r="G439" s="16"/>
      <c r="H439" s="16"/>
    </row>
    <row r="440" spans="1:8">
      <c r="A440" s="16"/>
      <c r="B440" s="16"/>
      <c r="D440" s="16"/>
      <c r="G440" s="16"/>
      <c r="H440" s="16"/>
    </row>
    <row r="441" spans="1:8">
      <c r="A441" s="16"/>
      <c r="B441" s="16"/>
      <c r="D441" s="16"/>
      <c r="G441" s="16"/>
      <c r="H441" s="16"/>
    </row>
    <row r="442" spans="1:8">
      <c r="A442" s="16"/>
      <c r="B442" s="16"/>
      <c r="D442" s="16"/>
      <c r="G442" s="16"/>
      <c r="H442" s="16"/>
    </row>
    <row r="443" spans="1:8">
      <c r="A443" s="16"/>
      <c r="B443" s="16"/>
      <c r="D443" s="16"/>
      <c r="G443" s="16"/>
      <c r="H443" s="16"/>
    </row>
    <row r="444" spans="1:8">
      <c r="A444" s="16"/>
      <c r="B444" s="16"/>
      <c r="D444" s="16"/>
      <c r="G444" s="16"/>
      <c r="H444" s="16"/>
    </row>
    <row r="445" spans="1:8">
      <c r="A445" s="16"/>
      <c r="B445" s="16"/>
      <c r="D445" s="16"/>
      <c r="G445" s="16"/>
      <c r="H445" s="16"/>
    </row>
    <row r="446" spans="1:8">
      <c r="A446" s="16"/>
      <c r="B446" s="16"/>
      <c r="D446" s="16"/>
      <c r="G446" s="16"/>
      <c r="H446" s="16"/>
    </row>
    <row r="447" spans="1:8">
      <c r="A447" s="16"/>
      <c r="B447" s="16"/>
      <c r="D447" s="16"/>
      <c r="G447" s="16"/>
      <c r="H447" s="16"/>
    </row>
    <row r="448" spans="1:8">
      <c r="A448" s="16"/>
      <c r="B448" s="16"/>
      <c r="D448" s="16"/>
      <c r="G448" s="16"/>
      <c r="H448" s="16"/>
    </row>
    <row r="449" spans="1:8">
      <c r="A449" s="16"/>
      <c r="B449" s="16"/>
      <c r="D449" s="16"/>
      <c r="G449" s="16"/>
      <c r="H449" s="16"/>
    </row>
    <row r="450" spans="1:8">
      <c r="A450" s="16"/>
      <c r="B450" s="16"/>
      <c r="D450" s="16"/>
      <c r="G450" s="16"/>
      <c r="H450" s="16"/>
    </row>
    <row r="451" spans="1:8">
      <c r="A451" s="16"/>
      <c r="B451" s="16"/>
      <c r="D451" s="16"/>
      <c r="G451" s="16"/>
      <c r="H451" s="16"/>
    </row>
    <row r="452" spans="1:8">
      <c r="A452" s="16"/>
      <c r="B452" s="16"/>
      <c r="D452" s="16"/>
      <c r="G452" s="16"/>
      <c r="H452" s="16"/>
    </row>
    <row r="453" spans="1:8">
      <c r="A453" s="16"/>
      <c r="B453" s="16"/>
      <c r="D453" s="16"/>
      <c r="G453" s="16"/>
      <c r="H453" s="16"/>
    </row>
    <row r="454" spans="1:8">
      <c r="A454" s="16"/>
      <c r="B454" s="16"/>
      <c r="D454" s="16"/>
      <c r="G454" s="16"/>
      <c r="H454" s="16"/>
    </row>
    <row r="455" spans="1:8">
      <c r="A455" s="16"/>
      <c r="B455" s="16"/>
      <c r="D455" s="16"/>
      <c r="G455" s="16"/>
      <c r="H455" s="16"/>
    </row>
    <row r="456" spans="1:8">
      <c r="A456" s="16"/>
      <c r="B456" s="16"/>
      <c r="D456" s="16"/>
      <c r="G456" s="16"/>
      <c r="H456" s="16"/>
    </row>
    <row r="457" spans="1:8">
      <c r="A457" s="16"/>
      <c r="B457" s="16"/>
      <c r="D457" s="16"/>
      <c r="G457" s="16"/>
      <c r="H457" s="16"/>
    </row>
    <row r="458" spans="1:8">
      <c r="A458" s="16"/>
      <c r="B458" s="16"/>
      <c r="D458" s="16"/>
      <c r="G458" s="16"/>
      <c r="H458" s="16"/>
    </row>
    <row r="459" spans="1:8">
      <c r="A459" s="16"/>
      <c r="B459" s="16"/>
      <c r="D459" s="16"/>
      <c r="G459" s="16"/>
      <c r="H459" s="16"/>
    </row>
    <row r="460" spans="1:8">
      <c r="A460" s="16"/>
      <c r="B460" s="16"/>
      <c r="D460" s="16"/>
      <c r="G460" s="16"/>
      <c r="H460" s="16"/>
    </row>
    <row r="461" spans="1:8">
      <c r="A461" s="16"/>
      <c r="B461" s="16"/>
      <c r="D461" s="16"/>
      <c r="G461" s="16"/>
      <c r="H461" s="16"/>
    </row>
    <row r="462" spans="1:8">
      <c r="A462" s="16"/>
      <c r="B462" s="16"/>
      <c r="D462" s="16"/>
      <c r="G462" s="16"/>
      <c r="H462" s="16"/>
    </row>
    <row r="463" spans="1:8">
      <c r="A463" s="16"/>
      <c r="B463" s="16"/>
      <c r="D463" s="16"/>
      <c r="G463" s="16"/>
      <c r="H463" s="16"/>
    </row>
    <row r="464" spans="1:8">
      <c r="A464" s="16"/>
      <c r="B464" s="16"/>
      <c r="D464" s="16"/>
      <c r="G464" s="16"/>
      <c r="H464" s="16"/>
    </row>
    <row r="465" spans="1:8">
      <c r="A465" s="16"/>
      <c r="B465" s="16"/>
      <c r="D465" s="16"/>
      <c r="G465" s="16"/>
      <c r="H465" s="16"/>
    </row>
    <row r="466" spans="1:8">
      <c r="A466" s="16"/>
      <c r="B466" s="16"/>
      <c r="D466" s="16"/>
      <c r="G466" s="16"/>
      <c r="H466" s="16"/>
    </row>
    <row r="467" spans="1:8">
      <c r="A467" s="16"/>
      <c r="B467" s="16"/>
      <c r="D467" s="16"/>
      <c r="G467" s="16"/>
      <c r="H467" s="16"/>
    </row>
    <row r="468" spans="1:8">
      <c r="A468" s="16"/>
      <c r="B468" s="16"/>
      <c r="D468" s="16"/>
      <c r="G468" s="16"/>
      <c r="H468" s="16"/>
    </row>
    <row r="469" spans="1:8">
      <c r="A469" s="16"/>
      <c r="B469" s="16"/>
      <c r="D469" s="16"/>
      <c r="G469" s="16"/>
      <c r="H469" s="16"/>
    </row>
    <row r="470" spans="1:8">
      <c r="A470" s="16"/>
      <c r="B470" s="16"/>
      <c r="D470" s="16"/>
      <c r="G470" s="16"/>
      <c r="H470" s="16"/>
    </row>
    <row r="471" spans="1:8">
      <c r="A471" s="16"/>
      <c r="B471" s="16"/>
      <c r="D471" s="16"/>
      <c r="G471" s="16"/>
      <c r="H471" s="16"/>
    </row>
    <row r="472" spans="1:8">
      <c r="A472" s="16"/>
      <c r="B472" s="16"/>
      <c r="D472" s="16"/>
      <c r="G472" s="16"/>
      <c r="H472" s="16"/>
    </row>
    <row r="473" spans="1:8">
      <c r="A473" s="16"/>
      <c r="B473" s="16"/>
      <c r="D473" s="16"/>
      <c r="G473" s="16"/>
      <c r="H473" s="16"/>
    </row>
    <row r="474" spans="1:8">
      <c r="A474" s="16"/>
      <c r="B474" s="16"/>
      <c r="D474" s="16"/>
      <c r="G474" s="16"/>
      <c r="H474" s="16"/>
    </row>
    <row r="475" spans="1:8">
      <c r="A475" s="16"/>
      <c r="B475" s="16"/>
      <c r="D475" s="16"/>
      <c r="G475" s="16"/>
      <c r="H475" s="16"/>
    </row>
    <row r="476" spans="1:8">
      <c r="A476" s="16"/>
      <c r="B476" s="16"/>
      <c r="D476" s="16"/>
      <c r="G476" s="16"/>
      <c r="H476" s="16"/>
    </row>
    <row r="477" spans="1:8">
      <c r="A477" s="16"/>
      <c r="B477" s="16"/>
      <c r="D477" s="16"/>
      <c r="G477" s="16"/>
      <c r="H477" s="16"/>
    </row>
    <row r="478" spans="1:8">
      <c r="A478" s="16"/>
      <c r="B478" s="16"/>
      <c r="D478" s="16"/>
      <c r="G478" s="16"/>
      <c r="H478" s="16"/>
    </row>
    <row r="479" spans="1:8">
      <c r="A479" s="16"/>
      <c r="B479" s="16"/>
      <c r="D479" s="16"/>
      <c r="G479" s="16"/>
      <c r="H479" s="16"/>
    </row>
    <row r="480" spans="1:8">
      <c r="A480" s="16"/>
      <c r="B480" s="16"/>
      <c r="D480" s="16"/>
      <c r="G480" s="16"/>
      <c r="H480" s="16"/>
    </row>
    <row r="481" spans="1:8">
      <c r="A481" s="16"/>
      <c r="B481" s="16"/>
      <c r="D481" s="16"/>
      <c r="G481" s="16"/>
      <c r="H481" s="16"/>
    </row>
    <row r="482" spans="1:8">
      <c r="A482" s="16"/>
      <c r="B482" s="16"/>
      <c r="D482" s="16"/>
      <c r="G482" s="16"/>
      <c r="H482" s="16"/>
    </row>
    <row r="483" spans="1:8">
      <c r="A483" s="16"/>
      <c r="B483" s="16"/>
      <c r="D483" s="16"/>
      <c r="G483" s="16"/>
      <c r="H483" s="16"/>
    </row>
    <row r="484" spans="1:8">
      <c r="A484" s="16"/>
      <c r="B484" s="16"/>
      <c r="D484" s="16"/>
      <c r="G484" s="16"/>
      <c r="H484" s="16"/>
    </row>
    <row r="485" spans="1:8">
      <c r="A485" s="16"/>
      <c r="B485" s="16"/>
      <c r="D485" s="16"/>
      <c r="G485" s="16"/>
      <c r="H485" s="16"/>
    </row>
    <row r="486" spans="1:8">
      <c r="A486" s="16"/>
      <c r="B486" s="16"/>
      <c r="D486" s="16"/>
      <c r="G486" s="16"/>
      <c r="H486" s="16"/>
    </row>
    <row r="487" spans="1:8">
      <c r="A487" s="16"/>
      <c r="B487" s="16"/>
      <c r="D487" s="16"/>
      <c r="G487" s="16"/>
      <c r="H487" s="16"/>
    </row>
    <row r="488" spans="1:8">
      <c r="A488" s="16"/>
      <c r="B488" s="16"/>
      <c r="D488" s="16"/>
      <c r="G488" s="16"/>
      <c r="H488" s="16"/>
    </row>
    <row r="489" spans="1:8">
      <c r="A489" s="16"/>
      <c r="B489" s="16"/>
      <c r="D489" s="16"/>
      <c r="G489" s="16"/>
      <c r="H489" s="16"/>
    </row>
    <row r="490" spans="1:8">
      <c r="A490" s="16"/>
      <c r="B490" s="16"/>
      <c r="D490" s="16"/>
      <c r="G490" s="16"/>
      <c r="H490" s="16"/>
    </row>
    <row r="491" spans="1:8">
      <c r="A491" s="16"/>
      <c r="B491" s="16"/>
      <c r="D491" s="16"/>
      <c r="G491" s="16"/>
      <c r="H491" s="16"/>
    </row>
    <row r="492" spans="1:8">
      <c r="A492" s="16"/>
      <c r="B492" s="16"/>
      <c r="D492" s="16"/>
      <c r="G492" s="16"/>
      <c r="H492" s="16"/>
    </row>
    <row r="493" spans="1:8">
      <c r="A493" s="16"/>
      <c r="B493" s="16"/>
      <c r="D493" s="16"/>
      <c r="G493" s="16"/>
      <c r="H493" s="16"/>
    </row>
    <row r="494" spans="1:8">
      <c r="A494" s="16"/>
      <c r="B494" s="16"/>
      <c r="D494" s="16"/>
      <c r="G494" s="16"/>
      <c r="H494" s="16"/>
    </row>
    <row r="495" spans="1:8">
      <c r="A495" s="16"/>
      <c r="B495" s="16"/>
      <c r="D495" s="16"/>
      <c r="G495" s="16"/>
      <c r="H495" s="16"/>
    </row>
    <row r="496" spans="1:8">
      <c r="A496" s="16"/>
      <c r="B496" s="16"/>
      <c r="D496" s="16"/>
      <c r="G496" s="16"/>
      <c r="H496" s="16"/>
    </row>
    <row r="497" spans="1:8">
      <c r="A497" s="16"/>
      <c r="B497" s="16"/>
      <c r="D497" s="16"/>
      <c r="G497" s="16"/>
      <c r="H497" s="16"/>
    </row>
    <row r="498" spans="1:8">
      <c r="A498" s="16"/>
      <c r="B498" s="16"/>
      <c r="D498" s="16"/>
      <c r="G498" s="16"/>
      <c r="H498" s="16"/>
    </row>
    <row r="499" spans="1:8">
      <c r="A499" s="16"/>
      <c r="B499" s="16"/>
      <c r="D499" s="16"/>
      <c r="G499" s="16"/>
      <c r="H499" s="16"/>
    </row>
    <row r="500" spans="1:8">
      <c r="A500" s="16"/>
      <c r="B500" s="16"/>
      <c r="D500" s="16"/>
      <c r="G500" s="16"/>
      <c r="H500" s="16"/>
    </row>
  </sheetData>
  <sheetProtection password="8CD6" sheet="1"/>
  <mergeCells count="2">
    <mergeCell ref="A3:J3"/>
    <mergeCell ref="A4:J4"/>
  </mergeCells>
  <conditionalFormatting sqref="J6:J500">
    <cfRule type="cellIs" dxfId="7" priority="2" operator="equal">
      <formula>5</formula>
    </cfRule>
    <cfRule type="cellIs" dxfId="6" priority="3" operator="equal">
      <formula>3</formula>
    </cfRule>
    <cfRule type="cellIs" dxfId="5" priority="4" operator="equal">
      <formula>0</formula>
    </cfRule>
  </conditionalFormatting>
  <dataValidations count="1">
    <dataValidation type="whole" errorTitle="Goles inválidos" error="Ingrese un entero entre 0 y 30" sqref="G6:H500" xr:uid="{00000000-0002-0000-0300-000002000000}">
      <formula1>0</formula1>
      <formula2>30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="Seleccione un ID de participante válido" xr:uid="{00000000-0002-0000-0300-000000000000}">
          <x14:formula1>
            <xm:f>Participantes!$A$6:$A$200</xm:f>
          </x14:formula1>
          <x14:formula2>
            <xm:f>0</xm:f>
          </x14:formula2>
          <xm:sqref>B6:B500</xm:sqref>
        </x14:dataValidation>
        <x14:dataValidation type="list" error="Seleccione un ID de partido válido" xr:uid="{00000000-0002-0000-0300-000001000000}">
          <x14:formula1>
            <xm:f>Partidos!$A$6:$A$200</xm:f>
          </x14:formula1>
          <x14:formula2>
            <xm:f>0</xm:f>
          </x14:formula2>
          <xm:sqref>D6:D500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2" width="12" customWidth="1"/>
    <col min="3" max="5" width="20" customWidth="1"/>
    <col min="6" max="7" width="13" customWidth="1"/>
    <col min="8" max="8" width="15" customWidth="1"/>
  </cols>
  <sheetData>
    <row r="1" spans="1:8" ht="25.5" customHeight="1">
      <c r="A1" s="1" t="str">
        <f>HYPERLINK("#'Dashboard'!A1","🏠 INICIO")</f>
        <v>🏠 INICIO</v>
      </c>
      <c r="B1" s="1" t="str">
        <f>HYPERLINK("#'Participantes'!A1","👥 PARTICIPANTES")</f>
        <v>👥 PARTICIPANTES</v>
      </c>
      <c r="C1" s="1" t="str">
        <f>HYPERLINK("#'Partidos'!A1","⚽ PARTIDOS")</f>
        <v>⚽ PARTIDOS</v>
      </c>
      <c r="D1" s="1" t="str">
        <f>HYPERLINK("#'Apuestas'!A1","🎯 APUESTAS")</f>
        <v>🎯 APUESTAS</v>
      </c>
      <c r="E1" s="1" t="str">
        <f>HYPERLINK("#'Resultados'!A1","📊 RESULTADOS")</f>
        <v>📊 RESULTADOS</v>
      </c>
      <c r="F1" s="1" t="str">
        <f>HYPERLINK("#'Ranking'!A1","🏆 RANKING")</f>
        <v>🏆 RANKING</v>
      </c>
      <c r="G1" s="1" t="str">
        <f>HYPERLINK("#'Informes'!A1","📈 INFORMES")</f>
        <v>📈 INFORMES</v>
      </c>
    </row>
    <row r="3" spans="1:8" ht="31.5" customHeight="1">
      <c r="A3" s="55" t="s">
        <v>201</v>
      </c>
      <c r="B3" s="55"/>
      <c r="C3" s="55"/>
      <c r="D3" s="55"/>
      <c r="E3" s="55"/>
      <c r="F3" s="55"/>
      <c r="G3" s="55"/>
      <c r="H3" s="55"/>
    </row>
    <row r="4" spans="1:8">
      <c r="A4" s="60" t="s">
        <v>202</v>
      </c>
      <c r="B4" s="60"/>
      <c r="C4" s="60"/>
      <c r="D4" s="60"/>
      <c r="E4" s="60"/>
      <c r="F4" s="60"/>
      <c r="G4" s="60"/>
      <c r="H4" s="60"/>
    </row>
    <row r="5" spans="1:8" ht="31.5" customHeight="1">
      <c r="A5" s="22" t="s">
        <v>88</v>
      </c>
      <c r="B5" s="22" t="s">
        <v>89</v>
      </c>
      <c r="C5" s="22" t="s">
        <v>90</v>
      </c>
      <c r="D5" s="22" t="s">
        <v>92</v>
      </c>
      <c r="E5" s="22" t="s">
        <v>93</v>
      </c>
      <c r="F5" s="22" t="s">
        <v>203</v>
      </c>
      <c r="G5" s="22" t="s">
        <v>204</v>
      </c>
      <c r="H5" s="22" t="s">
        <v>36</v>
      </c>
    </row>
    <row r="6" spans="1:8">
      <c r="A6" s="23" t="str">
        <f>Partidos!A6</f>
        <v>M001</v>
      </c>
      <c r="B6" s="23" t="str">
        <f>Partidos!B6</f>
        <v>2026-06-11</v>
      </c>
      <c r="C6" s="23" t="str">
        <f>Partidos!C6</f>
        <v>Fase de Grupos</v>
      </c>
      <c r="D6" s="23" t="str">
        <f>Partidos!E6</f>
        <v>México</v>
      </c>
      <c r="E6" s="23" t="str">
        <f>Partidos!F6</f>
        <v>Sudáfrica</v>
      </c>
      <c r="F6" s="23">
        <f>Partidos!G6</f>
        <v>2</v>
      </c>
      <c r="G6" s="23">
        <f>Partidos!H6</f>
        <v>1</v>
      </c>
      <c r="H6" s="23" t="str">
        <f>IF(OR(F6="",G6=""),"⏳ Pendiente","✅ Cargado")</f>
        <v>✅ Cargado</v>
      </c>
    </row>
    <row r="7" spans="1:8">
      <c r="A7" s="23" t="str">
        <f>Partidos!A7</f>
        <v>M002</v>
      </c>
      <c r="B7" s="23" t="str">
        <f>Partidos!B7</f>
        <v>2026-06-11</v>
      </c>
      <c r="C7" s="23" t="str">
        <f>Partidos!C7</f>
        <v>Fase de Grupos</v>
      </c>
      <c r="D7" s="23" t="str">
        <f>Partidos!E7</f>
        <v>Corea del Sur</v>
      </c>
      <c r="E7" s="23" t="str">
        <f>Partidos!F7</f>
        <v>Chequia</v>
      </c>
      <c r="F7" s="23">
        <f>Partidos!G7</f>
        <v>1</v>
      </c>
      <c r="G7" s="23">
        <f>Partidos!H7</f>
        <v>1</v>
      </c>
      <c r="H7" s="23" t="str">
        <f>IF(OR(F7="",G7=""),"⏳ Pendiente","✅ Cargado")</f>
        <v>✅ Cargado</v>
      </c>
    </row>
    <row r="8" spans="1:8">
      <c r="A8" s="23" t="str">
        <f>Partidos!A8</f>
        <v>M003</v>
      </c>
      <c r="B8" s="23" t="str">
        <f>Partidos!B8</f>
        <v>2026-06-12</v>
      </c>
      <c r="C8" s="23" t="str">
        <f>Partidos!C8</f>
        <v>Fase de Grupos</v>
      </c>
      <c r="D8" s="23" t="str">
        <f>Partidos!E8</f>
        <v>Canadá</v>
      </c>
      <c r="E8" s="23" t="str">
        <f>Partidos!F8</f>
        <v>Bosnia y Herzegovina</v>
      </c>
      <c r="F8" s="23">
        <f>Partidos!G8</f>
        <v>1</v>
      </c>
      <c r="G8" s="23">
        <f>Partidos!H8</f>
        <v>0</v>
      </c>
      <c r="H8" s="23" t="str">
        <f>IF(OR(F8="",G8=""),"⏳ Pendiente","✅ Cargado")</f>
        <v>✅ Cargado</v>
      </c>
    </row>
    <row r="9" spans="1:8">
      <c r="A9" s="23" t="str">
        <f>Partidos!A9</f>
        <v>M004</v>
      </c>
      <c r="B9" s="23" t="str">
        <f>Partidos!B9</f>
        <v>2026-06-12</v>
      </c>
      <c r="C9" s="23" t="str">
        <f>Partidos!C9</f>
        <v>Fase de Grupos</v>
      </c>
      <c r="D9" s="23" t="str">
        <f>Partidos!E9</f>
        <v>Estados Unidos</v>
      </c>
      <c r="E9" s="23" t="str">
        <f>Partidos!F9</f>
        <v>Paraguay</v>
      </c>
      <c r="F9" s="23">
        <f>Partidos!G9</f>
        <v>2</v>
      </c>
      <c r="G9" s="23">
        <f>Partidos!H9</f>
        <v>0</v>
      </c>
      <c r="H9" s="23" t="str">
        <f>IF(OR(F9="",G9=""),"⏳ Pendiente","✅ Cargado")</f>
        <v>✅ Cargado</v>
      </c>
    </row>
    <row r="10" spans="1:8">
      <c r="A10" s="23" t="str">
        <f>Partidos!A10</f>
        <v>M005</v>
      </c>
      <c r="B10" s="23" t="str">
        <f>Partidos!B10</f>
        <v>2026-06-13</v>
      </c>
      <c r="C10" s="23" t="str">
        <f>Partidos!C10</f>
        <v>Fase de Grupos</v>
      </c>
      <c r="D10" s="23" t="str">
        <f>Partidos!E10</f>
        <v>Qatar</v>
      </c>
      <c r="E10" s="23" t="str">
        <f>Partidos!F10</f>
        <v>Suiza</v>
      </c>
      <c r="F10" s="23">
        <f>Partidos!G10</f>
        <v>0</v>
      </c>
      <c r="G10" s="23">
        <f>Partidos!H10</f>
        <v>2</v>
      </c>
      <c r="H10" s="23" t="str">
        <f>IF(OR(F10="",G10=""),"⏳ Pendiente","✅ Cargado")</f>
        <v>✅ Cargado</v>
      </c>
    </row>
    <row r="11" spans="1:8">
      <c r="A11" s="23" t="str">
        <f>Partidos!A11</f>
        <v>M006</v>
      </c>
      <c r="B11" s="23" t="str">
        <f>Partidos!B11</f>
        <v>2026-06-13</v>
      </c>
      <c r="C11" s="23" t="str">
        <f>Partidos!C11</f>
        <v>Fase de Grupos</v>
      </c>
      <c r="D11" s="23" t="str">
        <f>Partidos!E11</f>
        <v>Brasil</v>
      </c>
      <c r="E11" s="23" t="str">
        <f>Partidos!F11</f>
        <v>Marruecos</v>
      </c>
      <c r="F11" s="23">
        <f>Partidos!G11</f>
        <v>1</v>
      </c>
      <c r="G11" s="23">
        <f>Partidos!H11</f>
        <v>2</v>
      </c>
      <c r="H11" s="23" t="str">
        <f>IF(OR(F11="",G11=""),"⏳ Pendiente","✅ Cargado")</f>
        <v>✅ Cargado</v>
      </c>
    </row>
    <row r="12" spans="1:8">
      <c r="A12" s="23" t="str">
        <f>Partidos!A12</f>
        <v>M007</v>
      </c>
      <c r="B12" s="23" t="str">
        <f>Partidos!B12</f>
        <v>2026-06-13</v>
      </c>
      <c r="C12" s="23" t="str">
        <f>Partidos!C12</f>
        <v>Fase de Grupos</v>
      </c>
      <c r="D12" s="23" t="str">
        <f>Partidos!E12</f>
        <v>Haití</v>
      </c>
      <c r="E12" s="23" t="str">
        <f>Partidos!F12</f>
        <v>Escocia</v>
      </c>
      <c r="F12" s="23">
        <f>Partidos!G12</f>
        <v>0</v>
      </c>
      <c r="G12" s="23">
        <f>Partidos!H12</f>
        <v>1</v>
      </c>
      <c r="H12" s="23" t="str">
        <f>IF(OR(F12="",G12=""),"⏳ Pendiente","✅ Cargado")</f>
        <v>✅ Cargado</v>
      </c>
    </row>
    <row r="13" spans="1:8">
      <c r="A13" s="23" t="str">
        <f>Partidos!A13</f>
        <v>M008</v>
      </c>
      <c r="B13" s="23" t="str">
        <f>Partidos!B13</f>
        <v>2026-06-14</v>
      </c>
      <c r="C13" s="23" t="str">
        <f>Partidos!C13</f>
        <v>Fase de Grupos</v>
      </c>
      <c r="D13" s="23" t="str">
        <f>Partidos!E13</f>
        <v>Alemania</v>
      </c>
      <c r="E13" s="23" t="str">
        <f>Partidos!F13</f>
        <v>Curazao</v>
      </c>
      <c r="F13" s="23">
        <f>Partidos!G13</f>
        <v>3</v>
      </c>
      <c r="G13" s="23">
        <f>Partidos!H13</f>
        <v>0</v>
      </c>
      <c r="H13" s="23" t="str">
        <f>IF(OR(F13="",G13=""),"⏳ Pendiente","✅ Cargado")</f>
        <v>✅ Cargado</v>
      </c>
    </row>
    <row r="14" spans="1:8">
      <c r="A14" s="23" t="str">
        <f>Partidos!A14</f>
        <v>M009</v>
      </c>
      <c r="B14" s="23" t="str">
        <f>Partidos!B14</f>
        <v>2026-06-14</v>
      </c>
      <c r="C14" s="23" t="str">
        <f>Partidos!C14</f>
        <v>Fase de Grupos</v>
      </c>
      <c r="D14" s="23" t="str">
        <f>Partidos!E14</f>
        <v>Costa de Marfil</v>
      </c>
      <c r="E14" s="23" t="str">
        <f>Partidos!F14</f>
        <v>Ecuador</v>
      </c>
      <c r="F14" s="23">
        <f>Partidos!G14</f>
        <v>0</v>
      </c>
      <c r="G14" s="23">
        <f>Partidos!H14</f>
        <v>0</v>
      </c>
      <c r="H14" s="23" t="str">
        <f>IF(OR(F14="",G14=""),"⏳ Pendiente","✅ Cargado")</f>
        <v>✅ Cargado</v>
      </c>
    </row>
    <row r="15" spans="1:8">
      <c r="A15" s="23" t="str">
        <f>Partidos!A15</f>
        <v>M010</v>
      </c>
      <c r="B15" s="23" t="str">
        <f>Partidos!B15</f>
        <v>2026-06-14</v>
      </c>
      <c r="C15" s="23" t="str">
        <f>Partidos!C15</f>
        <v>Fase de Grupos</v>
      </c>
      <c r="D15" s="23" t="str">
        <f>Partidos!E15</f>
        <v>Países Bajos</v>
      </c>
      <c r="E15" s="23" t="str">
        <f>Partidos!F15</f>
        <v>Japón</v>
      </c>
      <c r="F15" s="23">
        <f>Partidos!G15</f>
        <v>0</v>
      </c>
      <c r="G15" s="23">
        <f>Partidos!H15</f>
        <v>0</v>
      </c>
      <c r="H15" s="23" t="str">
        <f>IF(OR(F15="",G15=""),"⏳ Pendiente","✅ Cargado")</f>
        <v>✅ Cargado</v>
      </c>
    </row>
    <row r="16" spans="1:8">
      <c r="A16" s="23" t="str">
        <f>Partidos!A16</f>
        <v>M011</v>
      </c>
      <c r="B16" s="23" t="str">
        <f>Partidos!B16</f>
        <v>2026-06-15</v>
      </c>
      <c r="C16" s="23" t="str">
        <f>Partidos!C16</f>
        <v>Fase de Grupos</v>
      </c>
      <c r="D16" s="23" t="str">
        <f>Partidos!E16</f>
        <v>Bélgica</v>
      </c>
      <c r="E16" s="23" t="str">
        <f>Partidos!F16</f>
        <v>Egipto</v>
      </c>
      <c r="F16" s="23">
        <f>Partidos!G16</f>
        <v>0</v>
      </c>
      <c r="G16" s="23">
        <f>Partidos!H16</f>
        <v>0</v>
      </c>
      <c r="H16" s="23" t="str">
        <f>IF(OR(F16="",G16=""),"⏳ Pendiente","✅ Cargado")</f>
        <v>✅ Cargado</v>
      </c>
    </row>
    <row r="17" spans="1:8">
      <c r="A17" s="23" t="str">
        <f>Partidos!A17</f>
        <v>M012</v>
      </c>
      <c r="B17" s="23" t="str">
        <f>Partidos!B17</f>
        <v>2026-06-15</v>
      </c>
      <c r="C17" s="23" t="str">
        <f>Partidos!C17</f>
        <v>Fase de Grupos</v>
      </c>
      <c r="D17" s="23" t="str">
        <f>Partidos!E17</f>
        <v>España</v>
      </c>
      <c r="E17" s="23" t="str">
        <f>Partidos!F17</f>
        <v>Cabo Verde</v>
      </c>
      <c r="F17" s="23">
        <f>Partidos!G17</f>
        <v>0</v>
      </c>
      <c r="G17" s="23">
        <f>Partidos!H17</f>
        <v>0</v>
      </c>
      <c r="H17" s="23" t="str">
        <f>IF(OR(F17="",G17=""),"⏳ Pendiente","✅ Cargado")</f>
        <v>✅ Cargado</v>
      </c>
    </row>
    <row r="18" spans="1:8">
      <c r="A18" s="23" t="str">
        <f>Partidos!A18</f>
        <v>M013</v>
      </c>
      <c r="B18" s="23" t="str">
        <f>Partidos!B18</f>
        <v>2026-06-15</v>
      </c>
      <c r="C18" s="23" t="str">
        <f>Partidos!C18</f>
        <v>Fase de Grupos</v>
      </c>
      <c r="D18" s="23" t="str">
        <f>Partidos!E18</f>
        <v>Arabia Saudita</v>
      </c>
      <c r="E18" s="23" t="str">
        <f>Partidos!F18</f>
        <v>Uruguay</v>
      </c>
      <c r="F18" s="23">
        <f>Partidos!G18</f>
        <v>0</v>
      </c>
      <c r="G18" s="23">
        <f>Partidos!H18</f>
        <v>0</v>
      </c>
      <c r="H18" s="23" t="str">
        <f>IF(OR(F18="",G18=""),"⏳ Pendiente","✅ Cargado")</f>
        <v>✅ Cargado</v>
      </c>
    </row>
    <row r="19" spans="1:8">
      <c r="A19" s="23" t="str">
        <f>Partidos!A19</f>
        <v>M014</v>
      </c>
      <c r="B19" s="23" t="str">
        <f>Partidos!B19</f>
        <v>2026-06-16</v>
      </c>
      <c r="C19" s="23" t="str">
        <f>Partidos!C19</f>
        <v>Fase de Grupos</v>
      </c>
      <c r="D19" s="23" t="str">
        <f>Partidos!E19</f>
        <v>Francia</v>
      </c>
      <c r="E19" s="23" t="str">
        <f>Partidos!F19</f>
        <v>Senegal</v>
      </c>
      <c r="F19" s="23">
        <f>Partidos!G19</f>
        <v>0</v>
      </c>
      <c r="G19" s="23">
        <f>Partidos!H19</f>
        <v>0</v>
      </c>
      <c r="H19" s="23" t="str">
        <f>IF(OR(F19="",G19=""),"⏳ Pendiente","✅ Cargado")</f>
        <v>✅ Cargado</v>
      </c>
    </row>
    <row r="20" spans="1:8">
      <c r="A20" s="23" t="str">
        <f>Partidos!A20</f>
        <v>M015</v>
      </c>
      <c r="B20" s="23" t="str">
        <f>Partidos!B20</f>
        <v>2026-06-16</v>
      </c>
      <c r="C20" s="23" t="str">
        <f>Partidos!C20</f>
        <v>Fase de Grupos</v>
      </c>
      <c r="D20" s="23" t="str">
        <f>Partidos!E20</f>
        <v>Argentina</v>
      </c>
      <c r="E20" s="23" t="str">
        <f>Partidos!F20</f>
        <v>Argelia</v>
      </c>
      <c r="F20" s="23">
        <f>Partidos!G20</f>
        <v>0</v>
      </c>
      <c r="G20" s="23">
        <f>Partidos!H20</f>
        <v>0</v>
      </c>
      <c r="H20" s="23" t="str">
        <f>IF(OR(F20="",G20=""),"⏳ Pendiente","✅ Cargado")</f>
        <v>✅ Cargado</v>
      </c>
    </row>
    <row r="21" spans="1:8">
      <c r="A21" s="23" t="str">
        <f>Partidos!A21</f>
        <v>M016</v>
      </c>
      <c r="B21" s="23" t="str">
        <f>Partidos!B21</f>
        <v>2026-06-17</v>
      </c>
      <c r="C21" s="23" t="str">
        <f>Partidos!C21</f>
        <v>Fase de Grupos</v>
      </c>
      <c r="D21" s="23" t="str">
        <f>Partidos!E21</f>
        <v>Portugal</v>
      </c>
      <c r="E21" s="23" t="str">
        <f>Partidos!F21</f>
        <v>DR Congo</v>
      </c>
      <c r="F21" s="23">
        <f>Partidos!G21</f>
        <v>0</v>
      </c>
      <c r="G21" s="23">
        <f>Partidos!H21</f>
        <v>0</v>
      </c>
      <c r="H21" s="23" t="str">
        <f>IF(OR(F21="",G21=""),"⏳ Pendiente","✅ Cargado")</f>
        <v>✅ Cargado</v>
      </c>
    </row>
    <row r="22" spans="1:8">
      <c r="A22" s="23" t="str">
        <f>Partidos!A22</f>
        <v>M017</v>
      </c>
      <c r="B22" s="23" t="str">
        <f>Partidos!B22</f>
        <v>2026-06-17</v>
      </c>
      <c r="C22" s="23" t="str">
        <f>Partidos!C22</f>
        <v>Fase de Grupos</v>
      </c>
      <c r="D22" s="23" t="str">
        <f>Partidos!E22</f>
        <v>Inglaterra</v>
      </c>
      <c r="E22" s="23" t="str">
        <f>Partidos!F22</f>
        <v>Croacia</v>
      </c>
      <c r="F22" s="23">
        <f>Partidos!G22</f>
        <v>0</v>
      </c>
      <c r="G22" s="23">
        <f>Partidos!H22</f>
        <v>0</v>
      </c>
      <c r="H22" s="23" t="str">
        <f>IF(OR(F22="",G22=""),"⏳ Pendiente","✅ Cargado")</f>
        <v>✅ Cargado</v>
      </c>
    </row>
    <row r="23" spans="1:8">
      <c r="A23" s="23" t="str">
        <f>Partidos!A23</f>
        <v>M018</v>
      </c>
      <c r="B23" s="23" t="str">
        <f>Partidos!B23</f>
        <v>2026-06-17</v>
      </c>
      <c r="C23" s="23" t="str">
        <f>Partidos!C23</f>
        <v>Fase de Grupos</v>
      </c>
      <c r="D23" s="23" t="str">
        <f>Partidos!E23</f>
        <v>Ghana</v>
      </c>
      <c r="E23" s="23" t="str">
        <f>Partidos!F23</f>
        <v>Panamá</v>
      </c>
      <c r="F23" s="23">
        <f>Partidos!G23</f>
        <v>0</v>
      </c>
      <c r="G23" s="23">
        <f>Partidos!H23</f>
        <v>0</v>
      </c>
      <c r="H23" s="23" t="str">
        <f>IF(OR(F23="",G23=""),"⏳ Pendiente","✅ Cargado")</f>
        <v>✅ Cargado</v>
      </c>
    </row>
  </sheetData>
  <sheetProtection password="8CD6" sheet="1"/>
  <mergeCells count="2">
    <mergeCell ref="A3:H3"/>
    <mergeCell ref="A4:H4"/>
  </mergeCells>
  <conditionalFormatting sqref="H6:H200">
    <cfRule type="cellIs" dxfId="4" priority="2" operator="equal">
      <formula>"✅ Cargado"</formula>
    </cfRule>
    <cfRule type="cellIs" dxfId="3" priority="3" operator="equal">
      <formula>"⏳ 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12" customWidth="1"/>
    <col min="2" max="2" width="10" customWidth="1"/>
    <col min="3" max="3" width="28" customWidth="1"/>
    <col min="4" max="5" width="18" customWidth="1"/>
    <col min="6" max="6" width="16" customWidth="1"/>
    <col min="7" max="7" width="14" customWidth="1"/>
  </cols>
  <sheetData>
    <row r="1" spans="1:7" ht="25.5" customHeight="1">
      <c r="A1" s="1" t="str">
        <f>HYPERLINK("#'Dashboard'!A1","🏠 INICIO")</f>
        <v>🏠 INICIO</v>
      </c>
      <c r="B1" s="1" t="str">
        <f>HYPERLINK("#'Participantes'!A1","👥 PARTICIPANTES")</f>
        <v>👥 PARTICIPANTES</v>
      </c>
      <c r="C1" s="1" t="str">
        <f>HYPERLINK("#'Partidos'!A1","⚽ PARTIDOS")</f>
        <v>⚽ PARTIDOS</v>
      </c>
      <c r="D1" s="1" t="str">
        <f>HYPERLINK("#'Apuestas'!A1","🎯 APUESTAS")</f>
        <v>🎯 APUESTAS</v>
      </c>
      <c r="E1" s="1" t="str">
        <f>HYPERLINK("#'Resultados'!A1","📊 RESULTADOS")</f>
        <v>📊 RESULTADOS</v>
      </c>
      <c r="F1" s="1" t="str">
        <f>HYPERLINK("#'Ranking'!A1","🏆 RANKING")</f>
        <v>🏆 RANKING</v>
      </c>
      <c r="G1" s="1" t="str">
        <f>HYPERLINK("#'Informes'!A1","📈 INFORMES")</f>
        <v>📈 INFORMES</v>
      </c>
    </row>
    <row r="3" spans="1:7" ht="31.5" customHeight="1">
      <c r="A3" s="56" t="s">
        <v>205</v>
      </c>
      <c r="B3" s="56"/>
      <c r="C3" s="56"/>
      <c r="D3" s="56"/>
      <c r="E3" s="56"/>
      <c r="F3" s="56"/>
      <c r="G3" s="56"/>
    </row>
    <row r="5" spans="1:7" ht="31.5" customHeight="1">
      <c r="A5" s="9" t="s">
        <v>8</v>
      </c>
      <c r="B5" s="9" t="s">
        <v>31</v>
      </c>
      <c r="C5" s="9" t="s">
        <v>9</v>
      </c>
      <c r="D5" s="9" t="s">
        <v>206</v>
      </c>
      <c r="E5" s="9" t="s">
        <v>207</v>
      </c>
      <c r="F5" s="9" t="s">
        <v>208</v>
      </c>
      <c r="G5" s="9" t="s">
        <v>209</v>
      </c>
    </row>
    <row r="6" spans="1:7">
      <c r="A6" s="24">
        <f>IF(F6="",,RANK(F6,$F$6:$F$15,0))</f>
        <v>1</v>
      </c>
      <c r="B6" s="23" t="s">
        <v>38</v>
      </c>
      <c r="C6" s="25" t="s">
        <v>39</v>
      </c>
      <c r="D6" s="23">
        <f>COUNTIF(Apuestas!$B$6:$B$1000,B6)</f>
        <v>5</v>
      </c>
      <c r="E6" s="23">
        <f>COUNTIFS(Apuestas!$B$6:$B$1000,B6,Apuestas!$J$6:$J$1000,Config!$G$4)</f>
        <v>1</v>
      </c>
      <c r="F6" s="26">
        <f>SUMIF(Apuestas!$B$6:$B$1000,B6,Apuestas!$J$6:$J$1000)</f>
        <v>6</v>
      </c>
      <c r="G6" s="27">
        <f>IFERROR(COUNTIFS(Apuestas!$B$6:$B$1000,B6,Apuestas!$J$6:$J$1000,"&gt;0")/D6,0)</f>
        <v>0.4</v>
      </c>
    </row>
    <row r="7" spans="1:7">
      <c r="A7" s="24">
        <f>IF(F7="",,RANK(F7,$F$6:$F$15,0))</f>
        <v>8</v>
      </c>
      <c r="B7" s="23" t="s">
        <v>44</v>
      </c>
      <c r="C7" s="25" t="s">
        <v>45</v>
      </c>
      <c r="D7" s="23">
        <f>COUNTIF(Apuestas!$B$6:$B$1000,B7)</f>
        <v>5</v>
      </c>
      <c r="E7" s="23">
        <f>COUNTIFS(Apuestas!$B$6:$B$1000,B7,Apuestas!$J$6:$J$1000,Config!$G$4)</f>
        <v>0</v>
      </c>
      <c r="F7" s="26">
        <f>SUMIF(Apuestas!$B$6:$B$1000,B7,Apuestas!$J$6:$J$1000)</f>
        <v>2</v>
      </c>
      <c r="G7" s="27">
        <f>IFERROR(COUNTIFS(Apuestas!$B$6:$B$1000,B7,Apuestas!$J$6:$J$1000,"&gt;0")/D7,0)</f>
        <v>0.4</v>
      </c>
    </row>
    <row r="8" spans="1:7">
      <c r="A8" s="24">
        <f>IF(F8="",,RANK(F8,$F$6:$F$15,0))</f>
        <v>5</v>
      </c>
      <c r="B8" s="23" t="s">
        <v>48</v>
      </c>
      <c r="C8" s="25" t="s">
        <v>49</v>
      </c>
      <c r="D8" s="23">
        <f>COUNTIF(Apuestas!$B$6:$B$1000,B8)</f>
        <v>5</v>
      </c>
      <c r="E8" s="23">
        <f>COUNTIFS(Apuestas!$B$6:$B$1000,B8,Apuestas!$J$6:$J$1000,Config!$G$4)</f>
        <v>0</v>
      </c>
      <c r="F8" s="26">
        <f>SUMIF(Apuestas!$B$6:$B$1000,B8,Apuestas!$J$6:$J$1000)</f>
        <v>3</v>
      </c>
      <c r="G8" s="27">
        <f>IFERROR(COUNTIFS(Apuestas!$B$6:$B$1000,B8,Apuestas!$J$6:$J$1000,"&gt;0")/D8,0)</f>
        <v>0.2</v>
      </c>
    </row>
    <row r="9" spans="1:7">
      <c r="A9" s="24">
        <f>IF(F9="",,RANK(F9,$F$6:$F$15,0))</f>
        <v>4</v>
      </c>
      <c r="B9" s="23" t="s">
        <v>53</v>
      </c>
      <c r="C9" s="25" t="s">
        <v>54</v>
      </c>
      <c r="D9" s="23">
        <f>COUNTIF(Apuestas!$B$6:$B$1000,B9)</f>
        <v>5</v>
      </c>
      <c r="E9" s="23">
        <f>COUNTIFS(Apuestas!$B$6:$B$1000,B9,Apuestas!$J$6:$J$1000,Config!$G$4)</f>
        <v>0</v>
      </c>
      <c r="F9" s="26">
        <f>SUMIF(Apuestas!$B$6:$B$1000,B9,Apuestas!$J$6:$J$1000)</f>
        <v>4</v>
      </c>
      <c r="G9" s="27">
        <f>IFERROR(COUNTIFS(Apuestas!$B$6:$B$1000,B9,Apuestas!$J$6:$J$1000,"&gt;0")/D9,0)</f>
        <v>0.4</v>
      </c>
    </row>
    <row r="10" spans="1:7">
      <c r="A10" s="24">
        <f>IF(F10="",,RANK(F10,$F$6:$F$15,0))</f>
        <v>2</v>
      </c>
      <c r="B10" s="23" t="s">
        <v>58</v>
      </c>
      <c r="C10" s="25" t="s">
        <v>59</v>
      </c>
      <c r="D10" s="23">
        <f>COUNTIF(Apuestas!$B$6:$B$1000,B10)</f>
        <v>3</v>
      </c>
      <c r="E10" s="23">
        <f>COUNTIFS(Apuestas!$B$6:$B$1000,B10,Apuestas!$J$6:$J$1000,Config!$G$4)</f>
        <v>1</v>
      </c>
      <c r="F10" s="26">
        <f>SUMIF(Apuestas!$B$6:$B$1000,B10,Apuestas!$J$6:$J$1000)</f>
        <v>5</v>
      </c>
      <c r="G10" s="27">
        <f>IFERROR(COUNTIFS(Apuestas!$B$6:$B$1000,B10,Apuestas!$J$6:$J$1000,"&gt;0")/D10,0)</f>
        <v>0.33333333333333331</v>
      </c>
    </row>
    <row r="11" spans="1:7">
      <c r="A11" s="24">
        <f>IF(F11="",,RANK(F11,$F$6:$F$15,0))</f>
        <v>5</v>
      </c>
      <c r="B11" s="23" t="s">
        <v>63</v>
      </c>
      <c r="C11" s="25" t="s">
        <v>64</v>
      </c>
      <c r="D11" s="23">
        <f>COUNTIF(Apuestas!$B$6:$B$1000,B11)</f>
        <v>3</v>
      </c>
      <c r="E11" s="23">
        <f>COUNTIFS(Apuestas!$B$6:$B$1000,B11,Apuestas!$J$6:$J$1000,Config!$G$4)</f>
        <v>0</v>
      </c>
      <c r="F11" s="26">
        <f>SUMIF(Apuestas!$B$6:$B$1000,B11,Apuestas!$J$6:$J$1000)</f>
        <v>3</v>
      </c>
      <c r="G11" s="27">
        <f>IFERROR(COUNTIFS(Apuestas!$B$6:$B$1000,B11,Apuestas!$J$6:$J$1000,"&gt;0")/D11,0)</f>
        <v>0.33333333333333331</v>
      </c>
    </row>
    <row r="12" spans="1:7">
      <c r="A12" s="24">
        <f>IF(F12="",,RANK(F12,$F$6:$F$15,0))</f>
        <v>5</v>
      </c>
      <c r="B12" s="23" t="s">
        <v>68</v>
      </c>
      <c r="C12" s="25" t="s">
        <v>69</v>
      </c>
      <c r="D12" s="23">
        <f>COUNTIF(Apuestas!$B$6:$B$1000,B12)</f>
        <v>3</v>
      </c>
      <c r="E12" s="23">
        <f>COUNTIFS(Apuestas!$B$6:$B$1000,B12,Apuestas!$J$6:$J$1000,Config!$G$4)</f>
        <v>0</v>
      </c>
      <c r="F12" s="26">
        <f>SUMIF(Apuestas!$B$6:$B$1000,B12,Apuestas!$J$6:$J$1000)</f>
        <v>3</v>
      </c>
      <c r="G12" s="27">
        <f>IFERROR(COUNTIFS(Apuestas!$B$6:$B$1000,B12,Apuestas!$J$6:$J$1000,"&gt;0")/D12,0)</f>
        <v>0.33333333333333331</v>
      </c>
    </row>
    <row r="13" spans="1:7">
      <c r="A13" s="24">
        <f>IF(F13="",,RANK(F13,$F$6:$F$15,0))</f>
        <v>9</v>
      </c>
      <c r="B13" s="23" t="s">
        <v>72</v>
      </c>
      <c r="C13" s="25" t="s">
        <v>73</v>
      </c>
      <c r="D13" s="23">
        <f>COUNTIF(Apuestas!$B$6:$B$1000,B13)</f>
        <v>3</v>
      </c>
      <c r="E13" s="23">
        <f>COUNTIFS(Apuestas!$B$6:$B$1000,B13,Apuestas!$J$6:$J$1000,Config!$G$4)</f>
        <v>0</v>
      </c>
      <c r="F13" s="26">
        <f>SUMIF(Apuestas!$B$6:$B$1000,B13,Apuestas!$J$6:$J$1000)</f>
        <v>1</v>
      </c>
      <c r="G13" s="27">
        <f>IFERROR(COUNTIFS(Apuestas!$B$6:$B$1000,B13,Apuestas!$J$6:$J$1000,"&gt;0")/D13,0)</f>
        <v>0.33333333333333331</v>
      </c>
    </row>
    <row r="14" spans="1:7">
      <c r="A14" s="24">
        <f>IF(F14="",,RANK(F14,$F$6:$F$15,0))</f>
        <v>2</v>
      </c>
      <c r="B14" s="23" t="s">
        <v>77</v>
      </c>
      <c r="C14" s="25" t="s">
        <v>78</v>
      </c>
      <c r="D14" s="23">
        <f>COUNTIF(Apuestas!$B$6:$B$1000,B14)</f>
        <v>3</v>
      </c>
      <c r="E14" s="23">
        <f>COUNTIFS(Apuestas!$B$6:$B$1000,B14,Apuestas!$J$6:$J$1000,Config!$G$4)</f>
        <v>1</v>
      </c>
      <c r="F14" s="26">
        <f>SUMIF(Apuestas!$B$6:$B$1000,B14,Apuestas!$J$6:$J$1000)</f>
        <v>5</v>
      </c>
      <c r="G14" s="27">
        <f>IFERROR(COUNTIFS(Apuestas!$B$6:$B$1000,B14,Apuestas!$J$6:$J$1000,"&gt;0")/D14,0)</f>
        <v>0.33333333333333331</v>
      </c>
    </row>
    <row r="15" spans="1:7">
      <c r="A15" s="24">
        <f>IF(F15="",,RANK(F15,$F$6:$F$15,0))</f>
        <v>10</v>
      </c>
      <c r="B15" s="23" t="s">
        <v>82</v>
      </c>
      <c r="C15" s="25" t="s">
        <v>83</v>
      </c>
      <c r="D15" s="23">
        <f>COUNTIF(Apuestas!$B$6:$B$1000,B15)</f>
        <v>0</v>
      </c>
      <c r="E15" s="23">
        <f>COUNTIFS(Apuestas!$B$6:$B$1000,B15,Apuestas!$J$6:$J$1000,Config!$G$4)</f>
        <v>0</v>
      </c>
      <c r="F15" s="26">
        <f>SUMIF(Apuestas!$B$6:$B$1000,B15,Apuestas!$J$6:$J$1000)</f>
        <v>0</v>
      </c>
      <c r="G15" s="27">
        <f>IFERROR(COUNTIFS(Apuestas!$B$6:$B$1000,B15,Apuestas!$J$6:$J$1000,"&gt;0")/D15,0)</f>
        <v>0</v>
      </c>
    </row>
  </sheetData>
  <sheetProtection password="8CD6" sheet="1"/>
  <mergeCells count="1">
    <mergeCell ref="A3:G3"/>
  </mergeCells>
  <conditionalFormatting sqref="A6:G15">
    <cfRule type="expression" dxfId="2" priority="2">
      <formula>$A6=1</formula>
    </cfRule>
    <cfRule type="expression" dxfId="1" priority="3">
      <formula>$A6=2</formula>
    </cfRule>
    <cfRule type="expression" dxfId="0" priority="4">
      <formula>$A6=3</formula>
    </cfRule>
  </conditionalFormatting>
  <conditionalFormatting sqref="F6:F15">
    <cfRule type="dataBar" priority="5">
      <dataBar>
        <cfvo type="min"/>
        <cfvo type="max"/>
        <color rgb="FF008751"/>
      </dataBar>
      <extLst>
        <ext xmlns:x14="http://schemas.microsoft.com/office/spreadsheetml/2009/9/main" uri="{B025F937-C7B1-47D3-B67F-A62EFF666E3E}">
          <x14:id>{276536F4-8EC2-4EB6-AD20-B9823DBE939F}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6536F4-8EC2-4EB6-AD20-B9823DBE939F}">
            <x14:dataBar minLength="0" maxLength="100" axisPosition="none">
              <x14:cfvo type="min"/>
              <x14:cfvo type="max"/>
              <x14:negativeFillColor rgb="FF008751"/>
            </x14:dataBar>
          </x14:cfRule>
          <xm:sqref>F6:F15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4"/>
  <sheetViews>
    <sheetView zoomScaleNormal="100" workbookViewId="0"/>
  </sheetViews>
  <sheetFormatPr defaultColWidth="8.7109375" defaultRowHeight="15"/>
  <cols>
    <col min="1" max="1" width="32" customWidth="1"/>
    <col min="2" max="2" width="26" customWidth="1"/>
    <col min="3" max="6" width="14" customWidth="1"/>
    <col min="7" max="7" width="18" customWidth="1"/>
  </cols>
  <sheetData>
    <row r="1" spans="1:7" ht="25.5" customHeight="1">
      <c r="A1" s="1" t="str">
        <f>HYPERLINK("#'Dashboard'!A1","🏠 INICIO")</f>
        <v>🏠 INICIO</v>
      </c>
      <c r="B1" s="1" t="str">
        <f>HYPERLINK("#'Participantes'!A1","👥 PARTICIPANTES")</f>
        <v>👥 PARTICIPANTES</v>
      </c>
      <c r="C1" s="1" t="str">
        <f>HYPERLINK("#'Partidos'!A1","⚽ PARTIDOS")</f>
        <v>⚽ PARTIDOS</v>
      </c>
      <c r="D1" s="1" t="str">
        <f>HYPERLINK("#'Apuestas'!A1","🎯 APUESTAS")</f>
        <v>🎯 APUESTAS</v>
      </c>
      <c r="E1" s="1" t="str">
        <f>HYPERLINK("#'Resultados'!A1","📊 RESULTADOS")</f>
        <v>📊 RESULTADOS</v>
      </c>
      <c r="F1" s="1" t="str">
        <f>HYPERLINK("#'Ranking'!A1","🏆 RANKING")</f>
        <v>🏆 RANKING</v>
      </c>
      <c r="G1" s="1" t="str">
        <f>HYPERLINK("#'Informes'!A1","📈 INFORMES")</f>
        <v>📈 INFORMES</v>
      </c>
    </row>
    <row r="3" spans="1:7" ht="31.5" customHeight="1">
      <c r="A3" s="53" t="s">
        <v>210</v>
      </c>
      <c r="B3" s="53"/>
      <c r="C3" s="53"/>
      <c r="D3" s="53"/>
      <c r="E3" s="53"/>
      <c r="F3" s="53"/>
    </row>
    <row r="5" spans="1:7" ht="17.45">
      <c r="A5" s="57" t="s">
        <v>211</v>
      </c>
      <c r="B5" s="57"/>
      <c r="C5" s="57"/>
      <c r="D5" s="57"/>
      <c r="E5" s="57"/>
      <c r="F5" s="57"/>
    </row>
    <row r="6" spans="1:7">
      <c r="A6" s="28" t="s">
        <v>212</v>
      </c>
      <c r="B6" s="29">
        <f ca="1">TODAY()</f>
        <v>46189</v>
      </c>
    </row>
    <row r="8" spans="1:7">
      <c r="A8" s="9" t="s">
        <v>213</v>
      </c>
      <c r="B8" s="9" t="s">
        <v>9</v>
      </c>
      <c r="C8" s="9" t="s">
        <v>20</v>
      </c>
      <c r="D8" s="9" t="s">
        <v>10</v>
      </c>
    </row>
    <row r="9" spans="1:7">
      <c r="A9" s="23">
        <f>SMALL(Ranking!$A$6:$A$15,1)</f>
        <v>1</v>
      </c>
      <c r="B9" s="25" t="str">
        <f>IFERROR(INDEX(Ranking!$C$6:$C$15,MATCH(A9,Ranking!$A$6:$A$15,0)),"")</f>
        <v>Juan Pérez</v>
      </c>
      <c r="C9" s="23">
        <f>IFERROR(INDEX(Ranking!$D$6:$D$15,MATCH(A9,Ranking!$A$6:$A$15,0)),"")</f>
        <v>5</v>
      </c>
      <c r="D9" s="23">
        <f>IFERROR(INDEX(Ranking!$F$6:$F$15,MATCH(A9,Ranking!$A$6:$A$15,0)),"")</f>
        <v>6</v>
      </c>
    </row>
    <row r="10" spans="1:7">
      <c r="A10" s="23">
        <f>SMALL(Ranking!$A$6:$A$15,2)</f>
        <v>2</v>
      </c>
      <c r="B10" s="25" t="str">
        <f>IFERROR(INDEX(Ranking!$C$6:$C$15,MATCH(A10,Ranking!$A$6:$A$15,0)),"")</f>
        <v>Diego Silva</v>
      </c>
      <c r="C10" s="23">
        <f>IFERROR(INDEX(Ranking!$D$6:$D$15,MATCH(A10,Ranking!$A$6:$A$15,0)),"")</f>
        <v>3</v>
      </c>
      <c r="D10" s="23">
        <f>IFERROR(INDEX(Ranking!$F$6:$F$15,MATCH(A10,Ranking!$A$6:$A$15,0)),"")</f>
        <v>5</v>
      </c>
    </row>
    <row r="11" spans="1:7">
      <c r="A11" s="23">
        <f>SMALL(Ranking!$A$6:$A$15,3)</f>
        <v>2</v>
      </c>
      <c r="B11" s="25" t="str">
        <f>IFERROR(INDEX(Ranking!$C$6:$C$15,MATCH(A11,Ranking!$A$6:$A$15,0)),"")</f>
        <v>Diego Silva</v>
      </c>
      <c r="C11" s="23">
        <f>IFERROR(INDEX(Ranking!$D$6:$D$15,MATCH(A11,Ranking!$A$6:$A$15,0)),"")</f>
        <v>3</v>
      </c>
      <c r="D11" s="23">
        <f>IFERROR(INDEX(Ranking!$F$6:$F$15,MATCH(A11,Ranking!$A$6:$A$15,0)),"")</f>
        <v>5</v>
      </c>
    </row>
    <row r="12" spans="1:7">
      <c r="A12" s="23">
        <f>SMALL(Ranking!$A$6:$A$15,4)</f>
        <v>4</v>
      </c>
      <c r="B12" s="25" t="str">
        <f>IFERROR(INDEX(Ranking!$C$6:$C$15,MATCH(A12,Ranking!$A$6:$A$15,0)),"")</f>
        <v>Sofía Martínez</v>
      </c>
      <c r="C12" s="23">
        <f>IFERROR(INDEX(Ranking!$D$6:$D$15,MATCH(A12,Ranking!$A$6:$A$15,0)),"")</f>
        <v>5</v>
      </c>
      <c r="D12" s="23">
        <f>IFERROR(INDEX(Ranking!$F$6:$F$15,MATCH(A12,Ranking!$A$6:$A$15,0)),"")</f>
        <v>4</v>
      </c>
    </row>
    <row r="13" spans="1:7">
      <c r="A13" s="23">
        <f>SMALL(Ranking!$A$6:$A$15,5)</f>
        <v>5</v>
      </c>
      <c r="B13" s="25" t="str">
        <f>IFERROR(INDEX(Ranking!$C$6:$C$15,MATCH(A13,Ranking!$A$6:$A$15,0)),"")</f>
        <v>Lucas Rodríguez</v>
      </c>
      <c r="C13" s="23">
        <f>IFERROR(INDEX(Ranking!$D$6:$D$15,MATCH(A13,Ranking!$A$6:$A$15,0)),"")</f>
        <v>5</v>
      </c>
      <c r="D13" s="23">
        <f>IFERROR(INDEX(Ranking!$F$6:$F$15,MATCH(A13,Ranking!$A$6:$A$15,0)),"")</f>
        <v>3</v>
      </c>
    </row>
    <row r="14" spans="1:7">
      <c r="A14" s="23">
        <f>SMALL(Ranking!$A$6:$A$15,6)</f>
        <v>5</v>
      </c>
      <c r="B14" s="25" t="str">
        <f>IFERROR(INDEX(Ranking!$C$6:$C$15,MATCH(A14,Ranking!$A$6:$A$15,0)),"")</f>
        <v>Lucas Rodríguez</v>
      </c>
      <c r="C14" s="23">
        <f>IFERROR(INDEX(Ranking!$D$6:$D$15,MATCH(A14,Ranking!$A$6:$A$15,0)),"")</f>
        <v>5</v>
      </c>
      <c r="D14" s="23">
        <f>IFERROR(INDEX(Ranking!$F$6:$F$15,MATCH(A14,Ranking!$A$6:$A$15,0)),"")</f>
        <v>3</v>
      </c>
    </row>
    <row r="15" spans="1:7">
      <c r="A15" s="23">
        <f>SMALL(Ranking!$A$6:$A$15,7)</f>
        <v>5</v>
      </c>
      <c r="B15" s="25" t="str">
        <f>IFERROR(INDEX(Ranking!$C$6:$C$15,MATCH(A15,Ranking!$A$6:$A$15,0)),"")</f>
        <v>Lucas Rodríguez</v>
      </c>
      <c r="C15" s="23">
        <f>IFERROR(INDEX(Ranking!$D$6:$D$15,MATCH(A15,Ranking!$A$6:$A$15,0)),"")</f>
        <v>5</v>
      </c>
      <c r="D15" s="23">
        <f>IFERROR(INDEX(Ranking!$F$6:$F$15,MATCH(A15,Ranking!$A$6:$A$15,0)),"")</f>
        <v>3</v>
      </c>
    </row>
    <row r="16" spans="1:7">
      <c r="A16" s="23">
        <f>SMALL(Ranking!$A$6:$A$15,8)</f>
        <v>8</v>
      </c>
      <c r="B16" s="25" t="str">
        <f>IFERROR(INDEX(Ranking!$C$6:$C$15,MATCH(A16,Ranking!$A$6:$A$15,0)),"")</f>
        <v>María García</v>
      </c>
      <c r="C16" s="23">
        <f>IFERROR(INDEX(Ranking!$D$6:$D$15,MATCH(A16,Ranking!$A$6:$A$15,0)),"")</f>
        <v>5</v>
      </c>
      <c r="D16" s="23">
        <f>IFERROR(INDEX(Ranking!$F$6:$F$15,MATCH(A16,Ranking!$A$6:$A$15,0)),"")</f>
        <v>2</v>
      </c>
    </row>
    <row r="17" spans="1:6">
      <c r="A17" s="23">
        <f>SMALL(Ranking!$A$6:$A$15,9)</f>
        <v>9</v>
      </c>
      <c r="B17" s="25" t="str">
        <f>IFERROR(INDEX(Ranking!$C$6:$C$15,MATCH(A17,Ranking!$A$6:$A$15,0)),"")</f>
        <v>Carolina Díaz</v>
      </c>
      <c r="C17" s="23">
        <f>IFERROR(INDEX(Ranking!$D$6:$D$15,MATCH(A17,Ranking!$A$6:$A$15,0)),"")</f>
        <v>3</v>
      </c>
      <c r="D17" s="23">
        <f>IFERROR(INDEX(Ranking!$F$6:$F$15,MATCH(A17,Ranking!$A$6:$A$15,0)),"")</f>
        <v>1</v>
      </c>
    </row>
    <row r="18" spans="1:6">
      <c r="A18" s="23">
        <f>SMALL(Ranking!$A$6:$A$15,10)</f>
        <v>10</v>
      </c>
      <c r="B18" s="25" t="str">
        <f>IFERROR(INDEX(Ranking!$C$6:$C$15,MATCH(A18,Ranking!$A$6:$A$15,0)),"")</f>
        <v>Valentina Castro</v>
      </c>
      <c r="C18" s="23">
        <f>IFERROR(INDEX(Ranking!$D$6:$D$15,MATCH(A18,Ranking!$A$6:$A$15,0)),"")</f>
        <v>0</v>
      </c>
      <c r="D18" s="23">
        <f>IFERROR(INDEX(Ranking!$F$6:$F$15,MATCH(A18,Ranking!$A$6:$A$15,0)),"")</f>
        <v>0</v>
      </c>
    </row>
    <row r="21" spans="1:6" ht="17.45">
      <c r="A21" s="61" t="s">
        <v>214</v>
      </c>
      <c r="B21" s="61"/>
      <c r="C21" s="61"/>
      <c r="D21" s="61"/>
      <c r="E21" s="61"/>
      <c r="F21" s="61"/>
    </row>
    <row r="23" spans="1:6" ht="17.45">
      <c r="A23" s="30" t="s">
        <v>215</v>
      </c>
      <c r="B23" s="31" t="str">
        <f>IFERROR(INDEX(Ranking!$C$6:$C$15,MATCH(1,Ranking!$A$6:$A$15,0)),"")</f>
        <v>Juan Pérez</v>
      </c>
    </row>
    <row r="24" spans="1:6">
      <c r="A24" t="s">
        <v>216</v>
      </c>
      <c r="B24" s="32">
        <f>IFERROR(INDEX(Ranking!$F$6:$F$15,MATCH(1,Ranking!$A$6:$A$15,0)),"")</f>
        <v>6</v>
      </c>
    </row>
    <row r="26" spans="1:6">
      <c r="A26" s="33" t="s">
        <v>217</v>
      </c>
    </row>
    <row r="27" spans="1:6">
      <c r="A27" s="28" t="s">
        <v>218</v>
      </c>
      <c r="B27" s="34">
        <f>COUNTA(Participantes!$A$6:$A$200)</f>
        <v>10</v>
      </c>
    </row>
    <row r="28" spans="1:6">
      <c r="A28" s="28" t="s">
        <v>219</v>
      </c>
      <c r="B28" s="34">
        <f>COUNTIF(Participantes!$F$6:$F$200,"Activo")</f>
        <v>9</v>
      </c>
    </row>
    <row r="29" spans="1:6">
      <c r="A29" s="28" t="s">
        <v>220</v>
      </c>
      <c r="B29" s="34">
        <f>COUNTA(Apuestas!$A$6:$A$1000)</f>
        <v>35</v>
      </c>
    </row>
    <row r="30" spans="1:6">
      <c r="A30" s="28" t="s">
        <v>221</v>
      </c>
      <c r="B30" s="34">
        <f>COUNTA(Partidos!$A$6:$A$200)</f>
        <v>18</v>
      </c>
    </row>
    <row r="31" spans="1:6">
      <c r="A31" s="28" t="s">
        <v>222</v>
      </c>
      <c r="B31" s="34">
        <f>SUMPRODUCT((Partidos!$G$6:$G$200&lt;&gt;"")*(Partidos!$H$6:$H$200&lt;&gt;""))</f>
        <v>8</v>
      </c>
    </row>
    <row r="32" spans="1:6">
      <c r="A32" s="28" t="s">
        <v>223</v>
      </c>
      <c r="B32" s="34">
        <f>IFERROR(AVERAGE(Ranking!$F$6:$F$15),0)</f>
        <v>3.2</v>
      </c>
    </row>
    <row r="33" spans="1:2">
      <c r="A33" s="28" t="s">
        <v>224</v>
      </c>
      <c r="B33" s="34">
        <f>MAX(Ranking!$F$6:$F$15)</f>
        <v>6</v>
      </c>
    </row>
    <row r="34" spans="1:2">
      <c r="A34" s="28" t="s">
        <v>225</v>
      </c>
      <c r="B34" s="34">
        <f>COUNTIF(Apuestas!$J$6:$J$1000,Config!$G$4)</f>
        <v>3</v>
      </c>
    </row>
  </sheetData>
  <sheetProtection password="8CD6" sheet="1"/>
  <mergeCells count="3">
    <mergeCell ref="A3:F3"/>
    <mergeCell ref="A5:F5"/>
    <mergeCell ref="A21:F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1"/>
  <sheetViews>
    <sheetView zoomScaleNormal="100" workbookViewId="0"/>
  </sheetViews>
  <sheetFormatPr defaultColWidth="8.7109375" defaultRowHeight="15"/>
  <cols>
    <col min="1" max="2" width="22" customWidth="1"/>
    <col min="3" max="3" width="12" customWidth="1"/>
    <col min="4" max="4" width="14" customWidth="1"/>
    <col min="5" max="5" width="2" customWidth="1"/>
    <col min="6" max="6" width="32" customWidth="1"/>
    <col min="7" max="7" width="12" customWidth="1"/>
  </cols>
  <sheetData>
    <row r="1" spans="1:7" ht="17.45">
      <c r="A1" s="62" t="s">
        <v>226</v>
      </c>
      <c r="B1" s="62"/>
      <c r="C1" s="62"/>
      <c r="D1" s="62"/>
      <c r="E1" s="62"/>
      <c r="F1" s="62"/>
    </row>
    <row r="3" spans="1:7">
      <c r="A3" s="35" t="s">
        <v>227</v>
      </c>
      <c r="B3" s="35" t="s">
        <v>228</v>
      </c>
      <c r="C3" s="35" t="s">
        <v>229</v>
      </c>
      <c r="D3" s="35" t="s">
        <v>230</v>
      </c>
      <c r="F3" s="58" t="s">
        <v>231</v>
      </c>
      <c r="G3" s="58"/>
    </row>
    <row r="4" spans="1:7">
      <c r="A4" s="36" t="s">
        <v>23</v>
      </c>
      <c r="B4" s="36" t="s">
        <v>99</v>
      </c>
      <c r="C4" s="36" t="s">
        <v>100</v>
      </c>
      <c r="D4" s="36" t="s">
        <v>232</v>
      </c>
      <c r="E4" s="16"/>
      <c r="F4" s="36" t="s">
        <v>11</v>
      </c>
      <c r="G4" s="37">
        <v>5</v>
      </c>
    </row>
    <row r="5" spans="1:7">
      <c r="A5" s="36" t="s">
        <v>138</v>
      </c>
      <c r="B5" s="36" t="s">
        <v>233</v>
      </c>
      <c r="C5" s="36" t="s">
        <v>106</v>
      </c>
      <c r="D5" s="36" t="s">
        <v>234</v>
      </c>
      <c r="E5" s="16"/>
      <c r="F5" s="36" t="s">
        <v>235</v>
      </c>
      <c r="G5" s="37">
        <v>3</v>
      </c>
    </row>
    <row r="6" spans="1:7">
      <c r="A6" s="36" t="s">
        <v>145</v>
      </c>
      <c r="B6" s="36" t="s">
        <v>236</v>
      </c>
      <c r="C6" s="36" t="s">
        <v>115</v>
      </c>
      <c r="D6" s="36" t="s">
        <v>237</v>
      </c>
      <c r="E6" s="16"/>
      <c r="F6" s="36" t="s">
        <v>238</v>
      </c>
      <c r="G6" s="37">
        <v>1</v>
      </c>
    </row>
    <row r="7" spans="1:7">
      <c r="A7" s="36" t="s">
        <v>41</v>
      </c>
      <c r="B7" s="36" t="s">
        <v>239</v>
      </c>
      <c r="C7" s="36" t="s">
        <v>109</v>
      </c>
      <c r="D7" s="16"/>
      <c r="E7" s="16"/>
      <c r="F7" s="36" t="s">
        <v>240</v>
      </c>
      <c r="G7" s="37">
        <v>0</v>
      </c>
    </row>
    <row r="8" spans="1:7">
      <c r="A8" s="36" t="s">
        <v>241</v>
      </c>
      <c r="B8" s="36" t="s">
        <v>242</v>
      </c>
      <c r="C8" s="36" t="s">
        <v>121</v>
      </c>
      <c r="D8" s="16"/>
      <c r="E8" s="16"/>
      <c r="F8" s="16"/>
      <c r="G8" s="16"/>
    </row>
    <row r="9" spans="1:7">
      <c r="A9" s="36" t="s">
        <v>243</v>
      </c>
      <c r="B9" s="36" t="s">
        <v>244</v>
      </c>
      <c r="C9" s="36" t="s">
        <v>127</v>
      </c>
      <c r="D9" s="16"/>
      <c r="E9" s="16"/>
      <c r="F9" s="16"/>
      <c r="G9" s="16"/>
    </row>
    <row r="10" spans="1:7">
      <c r="A10" s="36" t="s">
        <v>132</v>
      </c>
      <c r="B10" s="36" t="s">
        <v>245</v>
      </c>
      <c r="C10" s="36" t="s">
        <v>131</v>
      </c>
      <c r="D10" s="16"/>
      <c r="E10" s="16"/>
      <c r="F10" s="16"/>
      <c r="G10" s="16"/>
    </row>
    <row r="11" spans="1:7">
      <c r="A11" s="36" t="s">
        <v>107</v>
      </c>
      <c r="B11" s="16"/>
      <c r="C11" s="36" t="s">
        <v>135</v>
      </c>
      <c r="D11" s="16"/>
      <c r="E11" s="16"/>
      <c r="F11" s="16"/>
      <c r="G11" s="16"/>
    </row>
    <row r="12" spans="1:7">
      <c r="A12" s="36" t="s">
        <v>22</v>
      </c>
      <c r="B12" s="16"/>
      <c r="C12" s="36" t="s">
        <v>141</v>
      </c>
      <c r="D12" s="16"/>
      <c r="E12" s="16"/>
      <c r="F12" s="16"/>
      <c r="G12" s="16"/>
    </row>
    <row r="13" spans="1:7">
      <c r="A13" s="36" t="s">
        <v>136</v>
      </c>
      <c r="B13" s="16"/>
      <c r="C13" s="36" t="s">
        <v>144</v>
      </c>
      <c r="D13" s="16"/>
      <c r="E13" s="16"/>
      <c r="F13" s="16"/>
      <c r="G13" s="16"/>
    </row>
    <row r="14" spans="1:7">
      <c r="A14" s="36" t="s">
        <v>27</v>
      </c>
      <c r="B14" s="16"/>
      <c r="C14" s="36" t="s">
        <v>148</v>
      </c>
      <c r="D14" s="16"/>
      <c r="E14" s="16"/>
      <c r="F14" s="16"/>
      <c r="G14" s="16"/>
    </row>
    <row r="15" spans="1:7">
      <c r="A15" s="36" t="s">
        <v>103</v>
      </c>
      <c r="B15" s="16"/>
      <c r="C15" s="36" t="s">
        <v>151</v>
      </c>
      <c r="D15" s="16"/>
      <c r="E15" s="16"/>
      <c r="F15" s="16"/>
      <c r="G15" s="16"/>
    </row>
    <row r="16" spans="1:7">
      <c r="A16" s="36" t="s">
        <v>246</v>
      </c>
      <c r="B16" s="16"/>
      <c r="C16" s="16"/>
      <c r="D16" s="16"/>
      <c r="E16" s="16"/>
      <c r="F16" s="16"/>
      <c r="G16" s="16"/>
    </row>
    <row r="17" spans="1:7">
      <c r="A17" s="36" t="s">
        <v>26</v>
      </c>
      <c r="B17" s="16"/>
      <c r="C17" s="16"/>
      <c r="D17" s="16"/>
      <c r="E17" s="16"/>
      <c r="F17" s="16"/>
      <c r="G17" s="16"/>
    </row>
    <row r="18" spans="1:7">
      <c r="A18" s="36" t="s">
        <v>124</v>
      </c>
      <c r="B18" s="16"/>
      <c r="C18" s="16"/>
      <c r="D18" s="16"/>
      <c r="E18" s="16"/>
      <c r="F18" s="16"/>
      <c r="G18" s="16"/>
    </row>
    <row r="19" spans="1:7">
      <c r="A19" s="36" t="s">
        <v>152</v>
      </c>
      <c r="B19" s="16"/>
      <c r="C19" s="16"/>
      <c r="D19" s="16"/>
      <c r="E19" s="16"/>
      <c r="F19" s="16"/>
      <c r="G19" s="16"/>
    </row>
    <row r="20" spans="1:7">
      <c r="A20" s="36" t="s">
        <v>122</v>
      </c>
      <c r="B20" s="16"/>
      <c r="C20" s="16"/>
      <c r="D20" s="16"/>
      <c r="E20" s="16"/>
      <c r="F20" s="16"/>
      <c r="G20" s="16"/>
    </row>
    <row r="21" spans="1:7">
      <c r="A21" s="36" t="s">
        <v>149</v>
      </c>
      <c r="B21" s="16"/>
      <c r="C21" s="16"/>
      <c r="D21" s="16"/>
      <c r="E21" s="16"/>
      <c r="F21" s="16"/>
      <c r="G21" s="16"/>
    </row>
    <row r="22" spans="1:7">
      <c r="A22" s="36" t="s">
        <v>125</v>
      </c>
      <c r="B22" s="16"/>
      <c r="C22" s="16"/>
      <c r="D22" s="16"/>
      <c r="E22" s="16"/>
      <c r="F22" s="16"/>
      <c r="G22" s="16"/>
    </row>
    <row r="23" spans="1:7">
      <c r="A23" s="36" t="s">
        <v>133</v>
      </c>
      <c r="B23" s="16"/>
      <c r="C23" s="16"/>
      <c r="D23" s="16"/>
      <c r="E23" s="16"/>
      <c r="F23" s="16"/>
      <c r="G23" s="16"/>
    </row>
    <row r="24" spans="1:7">
      <c r="A24" s="36" t="s">
        <v>118</v>
      </c>
      <c r="B24" s="16"/>
      <c r="C24" s="16"/>
      <c r="D24" s="16"/>
      <c r="E24" s="16"/>
      <c r="F24" s="16"/>
      <c r="G24" s="16"/>
    </row>
    <row r="25" spans="1:7">
      <c r="A25" s="36" t="s">
        <v>56</v>
      </c>
      <c r="B25" s="16"/>
      <c r="C25" s="16"/>
      <c r="D25" s="16"/>
      <c r="E25" s="16"/>
      <c r="F25" s="16"/>
      <c r="G25" s="16"/>
    </row>
    <row r="26" spans="1:7">
      <c r="A26" s="36" t="s">
        <v>24</v>
      </c>
      <c r="B26" s="16"/>
      <c r="C26" s="16"/>
      <c r="D26" s="16"/>
      <c r="E26" s="16"/>
      <c r="F26" s="16"/>
      <c r="G26" s="16"/>
    </row>
    <row r="27" spans="1:7">
      <c r="A27" s="36" t="s">
        <v>61</v>
      </c>
      <c r="B27" s="16"/>
      <c r="C27" s="16"/>
      <c r="D27" s="16"/>
      <c r="E27" s="16"/>
      <c r="F27" s="16"/>
      <c r="G27" s="16"/>
    </row>
    <row r="28" spans="1:7">
      <c r="A28" s="36" t="s">
        <v>154</v>
      </c>
      <c r="B28" s="16"/>
      <c r="C28" s="16"/>
      <c r="D28" s="16"/>
      <c r="E28" s="16"/>
      <c r="F28" s="16"/>
      <c r="G28" s="16"/>
    </row>
    <row r="29" spans="1:7">
      <c r="A29" s="36" t="s">
        <v>117</v>
      </c>
      <c r="B29" s="16"/>
      <c r="C29" s="16"/>
      <c r="D29" s="16"/>
      <c r="E29" s="16"/>
      <c r="F29" s="16"/>
      <c r="G29" s="16"/>
    </row>
    <row r="30" spans="1:7">
      <c r="A30" s="36" t="s">
        <v>66</v>
      </c>
      <c r="B30" s="16"/>
      <c r="C30" s="16"/>
      <c r="D30" s="16"/>
      <c r="E30" s="16"/>
      <c r="F30" s="16"/>
      <c r="G30" s="16"/>
    </row>
    <row r="31" spans="1:7">
      <c r="A31" s="36" t="s">
        <v>247</v>
      </c>
      <c r="B31" s="16"/>
      <c r="C31" s="16"/>
      <c r="D31" s="16"/>
      <c r="E31" s="16"/>
      <c r="F31" s="16"/>
      <c r="G31" s="16"/>
    </row>
    <row r="32" spans="1:7">
      <c r="A32" s="36" t="s">
        <v>248</v>
      </c>
      <c r="B32" s="16"/>
      <c r="C32" s="16"/>
      <c r="D32" s="16"/>
      <c r="E32" s="16"/>
      <c r="F32" s="16"/>
      <c r="G32" s="16"/>
    </row>
    <row r="33" spans="1:7">
      <c r="A33" s="36" t="s">
        <v>128</v>
      </c>
      <c r="B33" s="16"/>
      <c r="C33" s="16"/>
      <c r="D33" s="16"/>
      <c r="E33" s="16"/>
      <c r="F33" s="16"/>
      <c r="G33" s="16"/>
    </row>
    <row r="34" spans="1:7">
      <c r="A34" s="36" t="s">
        <v>249</v>
      </c>
      <c r="B34" s="16"/>
      <c r="C34" s="16"/>
      <c r="D34" s="16"/>
      <c r="E34" s="16"/>
      <c r="F34" s="16"/>
      <c r="G34" s="16"/>
    </row>
    <row r="35" spans="1:7">
      <c r="A35" s="36" t="s">
        <v>28</v>
      </c>
      <c r="B35" s="16"/>
      <c r="C35" s="16"/>
      <c r="D35" s="16"/>
      <c r="E35" s="16"/>
      <c r="F35" s="16"/>
      <c r="G35" s="16"/>
    </row>
    <row r="36" spans="1:7">
      <c r="A36" s="36" t="s">
        <v>21</v>
      </c>
      <c r="B36" s="16"/>
      <c r="C36" s="16"/>
      <c r="D36" s="16"/>
      <c r="E36" s="16"/>
      <c r="F36" s="16"/>
      <c r="G36" s="16"/>
    </row>
    <row r="37" spans="1:7">
      <c r="A37" s="36" t="s">
        <v>250</v>
      </c>
      <c r="B37" s="16"/>
      <c r="C37" s="16"/>
      <c r="D37" s="16"/>
      <c r="E37" s="16"/>
      <c r="F37" s="16"/>
      <c r="G37" s="16"/>
    </row>
    <row r="38" spans="1:7">
      <c r="A38" s="36" t="s">
        <v>251</v>
      </c>
      <c r="B38" s="16"/>
      <c r="C38" s="16"/>
      <c r="D38" s="16"/>
      <c r="E38" s="16"/>
      <c r="F38" s="16"/>
      <c r="G38" s="16"/>
    </row>
    <row r="39" spans="1:7">
      <c r="A39" s="36" t="s">
        <v>80</v>
      </c>
      <c r="B39" s="16"/>
      <c r="C39" s="16"/>
      <c r="D39" s="16"/>
      <c r="E39" s="16"/>
      <c r="F39" s="16"/>
      <c r="G39" s="16"/>
    </row>
    <row r="40" spans="1:7">
      <c r="A40" s="36" t="s">
        <v>155</v>
      </c>
      <c r="B40" s="16"/>
      <c r="C40" s="16"/>
      <c r="D40" s="16"/>
      <c r="E40" s="16"/>
      <c r="F40" s="16"/>
      <c r="G40" s="16"/>
    </row>
    <row r="41" spans="1:7">
      <c r="A41" s="36" t="s">
        <v>110</v>
      </c>
      <c r="B41" s="16"/>
      <c r="C41" s="16"/>
      <c r="D41" s="16"/>
      <c r="E41" s="16"/>
      <c r="F41" s="16"/>
      <c r="G41" s="16"/>
    </row>
    <row r="42" spans="1:7">
      <c r="A42" s="36" t="s">
        <v>75</v>
      </c>
      <c r="B42" s="16"/>
      <c r="C42" s="16"/>
      <c r="D42" s="16"/>
      <c r="E42" s="16"/>
      <c r="F42" s="16"/>
      <c r="G42" s="16"/>
    </row>
    <row r="43" spans="1:7">
      <c r="A43" s="36" t="s">
        <v>113</v>
      </c>
      <c r="B43" s="16"/>
      <c r="C43" s="16"/>
      <c r="D43" s="16"/>
      <c r="E43" s="16"/>
      <c r="F43" s="16"/>
      <c r="G43" s="16"/>
    </row>
    <row r="44" spans="1:7">
      <c r="A44" s="36" t="s">
        <v>142</v>
      </c>
      <c r="B44" s="16"/>
      <c r="C44" s="16"/>
      <c r="D44" s="16"/>
      <c r="E44" s="16"/>
      <c r="F44" s="16"/>
      <c r="G44" s="16"/>
    </row>
    <row r="45" spans="1:7">
      <c r="A45" s="36" t="s">
        <v>101</v>
      </c>
      <c r="B45" s="16"/>
      <c r="C45" s="16"/>
      <c r="D45" s="16"/>
      <c r="E45" s="16"/>
      <c r="F45" s="16"/>
      <c r="G45" s="16"/>
    </row>
    <row r="46" spans="1:7">
      <c r="A46" s="36" t="s">
        <v>252</v>
      </c>
      <c r="B46" s="16"/>
      <c r="C46" s="16"/>
      <c r="D46" s="16"/>
      <c r="E46" s="16"/>
      <c r="F46" s="16"/>
      <c r="G46" s="16"/>
    </row>
    <row r="47" spans="1:7">
      <c r="A47" s="36" t="s">
        <v>25</v>
      </c>
      <c r="B47" s="16"/>
      <c r="C47" s="16"/>
      <c r="D47" s="16"/>
      <c r="E47" s="16"/>
      <c r="F47" s="16"/>
      <c r="G47" s="16"/>
    </row>
    <row r="48" spans="1:7">
      <c r="A48" s="36" t="s">
        <v>253</v>
      </c>
      <c r="B48" s="16"/>
      <c r="C48" s="16"/>
      <c r="D48" s="16"/>
      <c r="E48" s="16"/>
      <c r="F48" s="16"/>
      <c r="G48" s="16"/>
    </row>
    <row r="49" spans="1:7">
      <c r="A49" s="36" t="s">
        <v>254</v>
      </c>
      <c r="B49" s="16"/>
      <c r="C49" s="16"/>
      <c r="D49" s="16"/>
      <c r="E49" s="16"/>
      <c r="F49" s="16"/>
      <c r="G49" s="16"/>
    </row>
    <row r="50" spans="1:7">
      <c r="A50" s="36" t="s">
        <v>51</v>
      </c>
      <c r="B50" s="16"/>
      <c r="C50" s="16"/>
      <c r="D50" s="16"/>
      <c r="E50" s="16"/>
      <c r="F50" s="16"/>
      <c r="G50" s="16"/>
    </row>
    <row r="51" spans="1:7">
      <c r="A51" s="38" t="s">
        <v>255</v>
      </c>
    </row>
  </sheetData>
  <mergeCells count="2">
    <mergeCell ref="A1:F1"/>
    <mergeCell ref="F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Facundo</cp:lastModifiedBy>
  <cp:revision>1</cp:revision>
  <dcterms:created xsi:type="dcterms:W3CDTF">2026-06-08T12:38:03Z</dcterms:created>
  <dcterms:modified xsi:type="dcterms:W3CDTF">2026-06-16T13:32:10Z</dcterms:modified>
  <cp:category/>
  <cp:contentStatus/>
</cp:coreProperties>
</file>